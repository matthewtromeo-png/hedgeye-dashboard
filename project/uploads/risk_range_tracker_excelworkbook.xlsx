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7ebc199affe31af/Desktop/Trading/"/>
    </mc:Choice>
  </mc:AlternateContent>
  <xr:revisionPtr revIDLastSave="219" documentId="8_{9A9339C9-625E-459B-9C22-ADB9EC8EAA35}" xr6:coauthVersionLast="47" xr6:coauthVersionMax="47" xr10:uidLastSave="{E233C509-4A6F-4D48-86C5-305B3C6D3BF0}"/>
  <bookViews>
    <workbookView xWindow="16920" yWindow="3930" windowWidth="18495" windowHeight="16785" firstSheet="99" activeTab="102" xr2:uid="{00000000-000D-0000-FFFF-FFFF00000000}"/>
  </bookViews>
  <sheets>
    <sheet name="RiskRanges" sheetId="1" r:id="rId1"/>
    <sheet name="Nov. 24.2025" sheetId="2" r:id="rId2"/>
    <sheet name="Nov. 25.2025" sheetId="3" r:id="rId3"/>
    <sheet name="Nov. 26.2025" sheetId="4" r:id="rId4"/>
    <sheet name="Nov 28.2025" sheetId="5" r:id="rId5"/>
    <sheet name="Dec 1.2025" sheetId="6" r:id="rId6"/>
    <sheet name="Dec 2. 2025" sheetId="7" r:id="rId7"/>
    <sheet name="Dec 3. 2025" sheetId="8" r:id="rId8"/>
    <sheet name="Dec 4.2025" sheetId="9" r:id="rId9"/>
    <sheet name="Dec 5.2025" sheetId="10" r:id="rId10"/>
    <sheet name="Dec 8.2025" sheetId="11" r:id="rId11"/>
    <sheet name="Dec. 9.2025" sheetId="12" r:id="rId12"/>
    <sheet name="Dec 10.2025" sheetId="13" r:id="rId13"/>
    <sheet name="Dec. 11.2025" sheetId="14" r:id="rId14"/>
    <sheet name="Dec 12.2025" sheetId="15" r:id="rId15"/>
    <sheet name="Dec. 15.2025" sheetId="16" r:id="rId16"/>
    <sheet name="Dec 16.2025" sheetId="17" r:id="rId17"/>
    <sheet name="Dec 17.2025" sheetId="18" r:id="rId18"/>
    <sheet name="Dec 18.2025" sheetId="19" r:id="rId19"/>
    <sheet name="Dec 19.2025" sheetId="20" r:id="rId20"/>
    <sheet name="Dec 22.2025" sheetId="21" r:id="rId21"/>
    <sheet name="Dec 23.2025" sheetId="22" r:id="rId22"/>
    <sheet name="Dec. 24.2025" sheetId="23" r:id="rId23"/>
    <sheet name="Dec 26. 2025" sheetId="24" r:id="rId24"/>
    <sheet name="Dec 29. 2025" sheetId="25" r:id="rId25"/>
    <sheet name="Dec 30. 2025" sheetId="26" r:id="rId26"/>
    <sheet name="Dec 31. 2025" sheetId="27" r:id="rId27"/>
    <sheet name="Jan 2. 2026" sheetId="28" r:id="rId28"/>
    <sheet name="Jan 5. 2026" sheetId="29" r:id="rId29"/>
    <sheet name="Jan 6. 2026" sheetId="30" r:id="rId30"/>
    <sheet name="Jan 7. 2026" sheetId="31" r:id="rId31"/>
    <sheet name="Jan 8. 2026" sheetId="32" r:id="rId32"/>
    <sheet name="Jan 9. 2026" sheetId="33" r:id="rId33"/>
    <sheet name="Jan 12. 2026" sheetId="34" r:id="rId34"/>
    <sheet name="Jan 13. 2026" sheetId="35" r:id="rId35"/>
    <sheet name="Jan 14. 2026" sheetId="36" r:id="rId36"/>
    <sheet name="Jan 15. 2026" sheetId="37" r:id="rId37"/>
    <sheet name="Jan 16. 2026" sheetId="38" r:id="rId38"/>
    <sheet name="Jan 20. 2026" sheetId="39" r:id="rId39"/>
    <sheet name="Jan 21. 2026" sheetId="40" r:id="rId40"/>
    <sheet name="Jan 22. 2026" sheetId="41" r:id="rId41"/>
    <sheet name="Jan 23. 2026" sheetId="42" r:id="rId42"/>
    <sheet name="Jan 26. 2026" sheetId="43" r:id="rId43"/>
    <sheet name="Jan 27. 2026" sheetId="44" r:id="rId44"/>
    <sheet name="Jan 28. 2026" sheetId="45" r:id="rId45"/>
    <sheet name="Jan 29. 2026" sheetId="46" r:id="rId46"/>
    <sheet name="Jan 30. 2026" sheetId="48" r:id="rId47"/>
    <sheet name="Feb 2. 2026" sheetId="49" r:id="rId48"/>
    <sheet name="Feb 3. 2026" sheetId="50" r:id="rId49"/>
    <sheet name="Feb 4. 2026" sheetId="51" r:id="rId50"/>
    <sheet name="Feb 5. 2026" sheetId="52" r:id="rId51"/>
    <sheet name="Feb 6. 2026" sheetId="53" r:id="rId52"/>
    <sheet name="Feb 9. 2026" sheetId="54" r:id="rId53"/>
    <sheet name="Feb 10. 2026" sheetId="55" r:id="rId54"/>
    <sheet name="Feb 11. 2026" sheetId="56" r:id="rId55"/>
    <sheet name="Feb 12. 2026" sheetId="57" r:id="rId56"/>
    <sheet name="Feb 13. 2026" sheetId="58" r:id="rId57"/>
    <sheet name="Feb 17. 2026" sheetId="59" r:id="rId58"/>
    <sheet name="Feb 18. 2026" sheetId="60" r:id="rId59"/>
    <sheet name="Feb 19. 2026" sheetId="61" r:id="rId60"/>
    <sheet name="Feb 20. 2026" sheetId="62" r:id="rId61"/>
    <sheet name="Feb 23. 2026" sheetId="63" r:id="rId62"/>
    <sheet name="Feb 24. 2026" sheetId="64" r:id="rId63"/>
    <sheet name="Feb 25. 2026" sheetId="65" r:id="rId64"/>
    <sheet name="Feb 26. 2025" sheetId="66" r:id="rId65"/>
    <sheet name="Feb 27. 2025" sheetId="67" r:id="rId66"/>
    <sheet name="Mar 2. 2026" sheetId="68" r:id="rId67"/>
    <sheet name="Mar 3. 2026" sheetId="70" r:id="rId68"/>
    <sheet name="Mar 4. 2026" sheetId="71" r:id="rId69"/>
    <sheet name="Mar 5. 2026" sheetId="72" r:id="rId70"/>
    <sheet name="Mar 6. 2026" sheetId="73" r:id="rId71"/>
    <sheet name="Mar 9. 2026" sheetId="74" r:id="rId72"/>
    <sheet name="Mar 10. 2026" sheetId="75" r:id="rId73"/>
    <sheet name="Mar 11. 2026" sheetId="76" r:id="rId74"/>
    <sheet name="Mar 12. 2026" sheetId="77" r:id="rId75"/>
    <sheet name="Mar 13. 2026" sheetId="78" r:id="rId76"/>
    <sheet name="Mar 16. 2026" sheetId="79" r:id="rId77"/>
    <sheet name="Mar 17. 2026" sheetId="80" r:id="rId78"/>
    <sheet name="Mar 18. 2026" sheetId="81" r:id="rId79"/>
    <sheet name="Mar 19. 2026" sheetId="82" r:id="rId80"/>
    <sheet name="Mar 20. 2026" sheetId="83" r:id="rId81"/>
    <sheet name="Mar 23. 2026" sheetId="84" r:id="rId82"/>
    <sheet name="Mar 24. 2026" sheetId="85" r:id="rId83"/>
    <sheet name="Mar 25. 2026" sheetId="86" r:id="rId84"/>
    <sheet name="Mar 26. 2026" sheetId="87" r:id="rId85"/>
    <sheet name="Mar 27. 2026" sheetId="89" r:id="rId86"/>
    <sheet name="Mar 30. 2026" sheetId="88" r:id="rId87"/>
    <sheet name="Mar 31. 2026" sheetId="90" r:id="rId88"/>
    <sheet name="Apr 1. 2026" sheetId="91" r:id="rId89"/>
    <sheet name="Apr 2. 2026" sheetId="92" r:id="rId90"/>
    <sheet name="Apr 6. 2026" sheetId="93" r:id="rId91"/>
    <sheet name="Apr 7. 2026" sheetId="94" r:id="rId92"/>
    <sheet name="Apr 8. 2026" sheetId="95" r:id="rId93"/>
    <sheet name="Apr 9. 2026" sheetId="96" r:id="rId94"/>
    <sheet name="Apr 10. 2026" sheetId="97" r:id="rId95"/>
    <sheet name="Apr 13. 2026" sheetId="98" r:id="rId96"/>
    <sheet name="Apr 14. 2026" sheetId="99" r:id="rId97"/>
    <sheet name="Apr 15. 2026" sheetId="100" r:id="rId98"/>
    <sheet name="Apr 16. 2026" sheetId="101" r:id="rId99"/>
    <sheet name="Apr 17. 2026" sheetId="102" r:id="rId100"/>
    <sheet name="Apr 20. 2026" sheetId="103" r:id="rId101"/>
    <sheet name="Apr 21. 2026" sheetId="104" r:id="rId102"/>
    <sheet name="Apr 22. 2026" sheetId="105" r:id="rId103"/>
    <sheet name="Comparison" sheetId="47" r:id="rId10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7" l="1"/>
  <c r="B73" i="47" l="1"/>
  <c r="B72" i="47"/>
  <c r="B71" i="47"/>
  <c r="B70" i="47"/>
  <c r="B69" i="47"/>
  <c r="B68" i="47"/>
  <c r="B67" i="47"/>
  <c r="B66" i="47"/>
  <c r="B65" i="47"/>
  <c r="B64" i="47"/>
  <c r="B63" i="47"/>
  <c r="B62" i="47"/>
  <c r="B61" i="47"/>
  <c r="B60" i="47"/>
  <c r="B59" i="47"/>
  <c r="B58" i="47"/>
  <c r="B57" i="47"/>
  <c r="B56" i="47"/>
  <c r="B55" i="47"/>
  <c r="B54" i="47"/>
  <c r="B53" i="47"/>
  <c r="B52" i="47"/>
  <c r="B51" i="47"/>
  <c r="B50" i="47"/>
  <c r="B49" i="47"/>
  <c r="B48" i="47"/>
  <c r="B47" i="47"/>
  <c r="B46" i="47"/>
  <c r="B45" i="47"/>
  <c r="B44" i="47"/>
  <c r="B43" i="47"/>
  <c r="B42" i="47"/>
  <c r="B41" i="47"/>
  <c r="B40" i="47"/>
  <c r="B39" i="47"/>
  <c r="B38" i="47"/>
  <c r="B37" i="47"/>
  <c r="B36" i="47"/>
  <c r="B35" i="47"/>
  <c r="B34" i="47"/>
  <c r="B33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6" i="47"/>
  <c r="B5" i="47"/>
  <c r="B4" i="47"/>
  <c r="B3" i="47"/>
  <c r="B2" i="47"/>
  <c r="A63" i="47"/>
  <c r="A64" i="47"/>
  <c r="A65" i="47"/>
  <c r="A66" i="47"/>
  <c r="A67" i="47"/>
  <c r="A68" i="47"/>
  <c r="A69" i="47"/>
  <c r="A70" i="47"/>
  <c r="A71" i="47"/>
  <c r="A72" i="47"/>
  <c r="A73" i="47"/>
  <c r="A52" i="47"/>
  <c r="A53" i="47"/>
  <c r="A54" i="47"/>
  <c r="A55" i="47"/>
  <c r="A56" i="47"/>
  <c r="A57" i="47"/>
  <c r="A58" i="47"/>
  <c r="A59" i="47"/>
  <c r="A60" i="47"/>
  <c r="A61" i="47"/>
  <c r="A62" i="47"/>
  <c r="A32" i="47"/>
  <c r="A33" i="47"/>
  <c r="A34" i="47"/>
  <c r="A35" i="47"/>
  <c r="A36" i="47"/>
  <c r="A37" i="47"/>
  <c r="A38" i="47"/>
  <c r="A39" i="47"/>
  <c r="A40" i="47"/>
  <c r="A41" i="47"/>
  <c r="A42" i="47"/>
  <c r="A43" i="47"/>
  <c r="A44" i="47"/>
  <c r="A45" i="47"/>
  <c r="A46" i="47"/>
  <c r="A47" i="47"/>
  <c r="A48" i="47"/>
  <c r="A49" i="47"/>
  <c r="A50" i="47"/>
  <c r="A51" i="47"/>
  <c r="A3" i="47"/>
  <c r="A4" i="47"/>
  <c r="A5" i="47"/>
  <c r="A6" i="47"/>
  <c r="A7" i="47"/>
  <c r="A8" i="47"/>
  <c r="A9" i="47"/>
  <c r="A10" i="47"/>
  <c r="A11" i="47"/>
  <c r="A12" i="47"/>
  <c r="A13" i="47"/>
  <c r="A14" i="47"/>
  <c r="A15" i="47"/>
  <c r="A16" i="47"/>
  <c r="A17" i="47"/>
  <c r="A18" i="47"/>
  <c r="A19" i="47"/>
  <c r="A20" i="47"/>
  <c r="A21" i="47"/>
  <c r="A22" i="47"/>
  <c r="A23" i="47"/>
  <c r="A24" i="47"/>
  <c r="A25" i="47"/>
  <c r="A26" i="47"/>
  <c r="A27" i="47"/>
  <c r="A28" i="47"/>
  <c r="A29" i="47"/>
  <c r="A30" i="47"/>
  <c r="A31" i="47"/>
  <c r="A2" i="47"/>
  <c r="G3" i="1"/>
  <c r="E2" i="1"/>
  <c r="F501" i="1"/>
  <c r="H501" i="1" s="1"/>
  <c r="E501" i="1"/>
  <c r="G501" i="1" s="1"/>
  <c r="F500" i="1"/>
  <c r="H500" i="1" s="1"/>
  <c r="E500" i="1"/>
  <c r="G500" i="1" s="1"/>
  <c r="F499" i="1"/>
  <c r="H499" i="1" s="1"/>
  <c r="E499" i="1"/>
  <c r="G499" i="1" s="1"/>
  <c r="I499" i="1" s="1"/>
  <c r="F498" i="1"/>
  <c r="H498" i="1" s="1"/>
  <c r="E498" i="1"/>
  <c r="G498" i="1" s="1"/>
  <c r="F497" i="1"/>
  <c r="H497" i="1" s="1"/>
  <c r="E497" i="1"/>
  <c r="G497" i="1" s="1"/>
  <c r="I497" i="1" s="1"/>
  <c r="F496" i="1"/>
  <c r="H496" i="1" s="1"/>
  <c r="E496" i="1"/>
  <c r="G496" i="1" s="1"/>
  <c r="F495" i="1"/>
  <c r="H495" i="1" s="1"/>
  <c r="E495" i="1"/>
  <c r="G495" i="1" s="1"/>
  <c r="I495" i="1" s="1"/>
  <c r="F494" i="1"/>
  <c r="H494" i="1" s="1"/>
  <c r="E494" i="1"/>
  <c r="G494" i="1" s="1"/>
  <c r="I494" i="1" s="1"/>
  <c r="F493" i="1"/>
  <c r="H493" i="1" s="1"/>
  <c r="E493" i="1"/>
  <c r="G493" i="1" s="1"/>
  <c r="F492" i="1"/>
  <c r="H492" i="1" s="1"/>
  <c r="E492" i="1"/>
  <c r="G492" i="1" s="1"/>
  <c r="F491" i="1"/>
  <c r="H491" i="1" s="1"/>
  <c r="E491" i="1"/>
  <c r="G491" i="1" s="1"/>
  <c r="F490" i="1"/>
  <c r="H490" i="1" s="1"/>
  <c r="E490" i="1"/>
  <c r="G490" i="1" s="1"/>
  <c r="F489" i="1"/>
  <c r="H489" i="1" s="1"/>
  <c r="E489" i="1"/>
  <c r="G489" i="1" s="1"/>
  <c r="I489" i="1" s="1"/>
  <c r="F488" i="1"/>
  <c r="H488" i="1" s="1"/>
  <c r="E488" i="1"/>
  <c r="G488" i="1" s="1"/>
  <c r="F487" i="1"/>
  <c r="H487" i="1" s="1"/>
  <c r="E487" i="1"/>
  <c r="G487" i="1" s="1"/>
  <c r="I487" i="1" s="1"/>
  <c r="F486" i="1"/>
  <c r="H486" i="1" s="1"/>
  <c r="E486" i="1"/>
  <c r="G486" i="1" s="1"/>
  <c r="F485" i="1"/>
  <c r="H485" i="1" s="1"/>
  <c r="E485" i="1"/>
  <c r="G485" i="1" s="1"/>
  <c r="I485" i="1" s="1"/>
  <c r="F484" i="1"/>
  <c r="H484" i="1" s="1"/>
  <c r="E484" i="1"/>
  <c r="G484" i="1" s="1"/>
  <c r="I484" i="1" s="1"/>
  <c r="F483" i="1"/>
  <c r="H483" i="1" s="1"/>
  <c r="E483" i="1"/>
  <c r="G483" i="1" s="1"/>
  <c r="F482" i="1"/>
  <c r="H482" i="1" s="1"/>
  <c r="E482" i="1"/>
  <c r="G482" i="1" s="1"/>
  <c r="F481" i="1"/>
  <c r="H481" i="1" s="1"/>
  <c r="E481" i="1"/>
  <c r="G481" i="1" s="1"/>
  <c r="F480" i="1"/>
  <c r="H480" i="1" s="1"/>
  <c r="E480" i="1"/>
  <c r="G480" i="1" s="1"/>
  <c r="F479" i="1"/>
  <c r="H479" i="1" s="1"/>
  <c r="E479" i="1"/>
  <c r="G479" i="1" s="1"/>
  <c r="I479" i="1" s="1"/>
  <c r="F478" i="1"/>
  <c r="H478" i="1" s="1"/>
  <c r="E478" i="1"/>
  <c r="G478" i="1" s="1"/>
  <c r="F477" i="1"/>
  <c r="H477" i="1" s="1"/>
  <c r="E477" i="1"/>
  <c r="G477" i="1" s="1"/>
  <c r="I477" i="1" s="1"/>
  <c r="F476" i="1"/>
  <c r="H476" i="1" s="1"/>
  <c r="E476" i="1"/>
  <c r="G476" i="1" s="1"/>
  <c r="F475" i="1"/>
  <c r="H475" i="1" s="1"/>
  <c r="E475" i="1"/>
  <c r="G475" i="1" s="1"/>
  <c r="I475" i="1" s="1"/>
  <c r="F474" i="1"/>
  <c r="H474" i="1" s="1"/>
  <c r="E474" i="1"/>
  <c r="G474" i="1" s="1"/>
  <c r="I474" i="1" s="1"/>
  <c r="F473" i="1"/>
  <c r="H473" i="1" s="1"/>
  <c r="E473" i="1"/>
  <c r="G473" i="1" s="1"/>
  <c r="F472" i="1"/>
  <c r="H472" i="1" s="1"/>
  <c r="E472" i="1"/>
  <c r="G472" i="1" s="1"/>
  <c r="F471" i="1"/>
  <c r="H471" i="1" s="1"/>
  <c r="E471" i="1"/>
  <c r="G471" i="1" s="1"/>
  <c r="F470" i="1"/>
  <c r="H470" i="1" s="1"/>
  <c r="E470" i="1"/>
  <c r="G470" i="1" s="1"/>
  <c r="F469" i="1"/>
  <c r="H469" i="1" s="1"/>
  <c r="E469" i="1"/>
  <c r="G469" i="1" s="1"/>
  <c r="I469" i="1" s="1"/>
  <c r="F468" i="1"/>
  <c r="H468" i="1" s="1"/>
  <c r="E468" i="1"/>
  <c r="G468" i="1" s="1"/>
  <c r="F467" i="1"/>
  <c r="H467" i="1" s="1"/>
  <c r="E467" i="1"/>
  <c r="G467" i="1" s="1"/>
  <c r="I467" i="1" s="1"/>
  <c r="F466" i="1"/>
  <c r="H466" i="1" s="1"/>
  <c r="E466" i="1"/>
  <c r="G466" i="1" s="1"/>
  <c r="F465" i="1"/>
  <c r="H465" i="1" s="1"/>
  <c r="E465" i="1"/>
  <c r="G465" i="1" s="1"/>
  <c r="I465" i="1" s="1"/>
  <c r="F464" i="1"/>
  <c r="H464" i="1" s="1"/>
  <c r="E464" i="1"/>
  <c r="G464" i="1" s="1"/>
  <c r="I464" i="1" s="1"/>
  <c r="F463" i="1"/>
  <c r="H463" i="1" s="1"/>
  <c r="E463" i="1"/>
  <c r="G463" i="1" s="1"/>
  <c r="F462" i="1"/>
  <c r="H462" i="1" s="1"/>
  <c r="E462" i="1"/>
  <c r="G462" i="1" s="1"/>
  <c r="F461" i="1"/>
  <c r="H461" i="1" s="1"/>
  <c r="E461" i="1"/>
  <c r="G461" i="1" s="1"/>
  <c r="F460" i="1"/>
  <c r="H460" i="1" s="1"/>
  <c r="E460" i="1"/>
  <c r="G460" i="1" s="1"/>
  <c r="F459" i="1"/>
  <c r="H459" i="1" s="1"/>
  <c r="E459" i="1"/>
  <c r="G459" i="1" s="1"/>
  <c r="I459" i="1" s="1"/>
  <c r="F458" i="1"/>
  <c r="H458" i="1" s="1"/>
  <c r="E458" i="1"/>
  <c r="G458" i="1" s="1"/>
  <c r="F457" i="1"/>
  <c r="H457" i="1" s="1"/>
  <c r="E457" i="1"/>
  <c r="G457" i="1" s="1"/>
  <c r="I457" i="1" s="1"/>
  <c r="F456" i="1"/>
  <c r="H456" i="1" s="1"/>
  <c r="E456" i="1"/>
  <c r="G456" i="1" s="1"/>
  <c r="F455" i="1"/>
  <c r="H455" i="1" s="1"/>
  <c r="E455" i="1"/>
  <c r="G455" i="1" s="1"/>
  <c r="I455" i="1" s="1"/>
  <c r="F454" i="1"/>
  <c r="H454" i="1" s="1"/>
  <c r="E454" i="1"/>
  <c r="G454" i="1" s="1"/>
  <c r="I454" i="1" s="1"/>
  <c r="F453" i="1"/>
  <c r="H453" i="1" s="1"/>
  <c r="E453" i="1"/>
  <c r="G453" i="1" s="1"/>
  <c r="F452" i="1"/>
  <c r="H452" i="1" s="1"/>
  <c r="E452" i="1"/>
  <c r="G452" i="1" s="1"/>
  <c r="F451" i="1"/>
  <c r="H451" i="1" s="1"/>
  <c r="E451" i="1"/>
  <c r="G451" i="1" s="1"/>
  <c r="F450" i="1"/>
  <c r="H450" i="1" s="1"/>
  <c r="E450" i="1"/>
  <c r="G450" i="1" s="1"/>
  <c r="F449" i="1"/>
  <c r="H449" i="1" s="1"/>
  <c r="E449" i="1"/>
  <c r="G449" i="1" s="1"/>
  <c r="I449" i="1" s="1"/>
  <c r="F448" i="1"/>
  <c r="H448" i="1" s="1"/>
  <c r="E448" i="1"/>
  <c r="G448" i="1" s="1"/>
  <c r="F447" i="1"/>
  <c r="H447" i="1" s="1"/>
  <c r="E447" i="1"/>
  <c r="G447" i="1" s="1"/>
  <c r="I447" i="1" s="1"/>
  <c r="F446" i="1"/>
  <c r="H446" i="1" s="1"/>
  <c r="E446" i="1"/>
  <c r="G446" i="1" s="1"/>
  <c r="F445" i="1"/>
  <c r="H445" i="1" s="1"/>
  <c r="E445" i="1"/>
  <c r="G445" i="1" s="1"/>
  <c r="I445" i="1" s="1"/>
  <c r="F444" i="1"/>
  <c r="H444" i="1" s="1"/>
  <c r="E444" i="1"/>
  <c r="G444" i="1" s="1"/>
  <c r="I444" i="1" s="1"/>
  <c r="F443" i="1"/>
  <c r="H443" i="1" s="1"/>
  <c r="E443" i="1"/>
  <c r="G443" i="1" s="1"/>
  <c r="F442" i="1"/>
  <c r="H442" i="1" s="1"/>
  <c r="E442" i="1"/>
  <c r="G442" i="1" s="1"/>
  <c r="F441" i="1"/>
  <c r="H441" i="1" s="1"/>
  <c r="E441" i="1"/>
  <c r="G441" i="1" s="1"/>
  <c r="F440" i="1"/>
  <c r="H440" i="1" s="1"/>
  <c r="E440" i="1"/>
  <c r="G440" i="1" s="1"/>
  <c r="F439" i="1"/>
  <c r="H439" i="1" s="1"/>
  <c r="E439" i="1"/>
  <c r="G439" i="1" s="1"/>
  <c r="I439" i="1" s="1"/>
  <c r="F438" i="1"/>
  <c r="H438" i="1" s="1"/>
  <c r="E438" i="1"/>
  <c r="G438" i="1" s="1"/>
  <c r="F437" i="1"/>
  <c r="H437" i="1" s="1"/>
  <c r="E437" i="1"/>
  <c r="G437" i="1" s="1"/>
  <c r="I437" i="1" s="1"/>
  <c r="F436" i="1"/>
  <c r="H436" i="1" s="1"/>
  <c r="E436" i="1"/>
  <c r="G436" i="1" s="1"/>
  <c r="F435" i="1"/>
  <c r="H435" i="1" s="1"/>
  <c r="E435" i="1"/>
  <c r="G435" i="1" s="1"/>
  <c r="I435" i="1" s="1"/>
  <c r="F434" i="1"/>
  <c r="H434" i="1" s="1"/>
  <c r="E434" i="1"/>
  <c r="G434" i="1" s="1"/>
  <c r="I434" i="1" s="1"/>
  <c r="F433" i="1"/>
  <c r="H433" i="1" s="1"/>
  <c r="E433" i="1"/>
  <c r="G433" i="1" s="1"/>
  <c r="F432" i="1"/>
  <c r="H432" i="1" s="1"/>
  <c r="E432" i="1"/>
  <c r="G432" i="1" s="1"/>
  <c r="F431" i="1"/>
  <c r="H431" i="1" s="1"/>
  <c r="E431" i="1"/>
  <c r="G431" i="1" s="1"/>
  <c r="F430" i="1"/>
  <c r="H430" i="1" s="1"/>
  <c r="E430" i="1"/>
  <c r="G430" i="1" s="1"/>
  <c r="F429" i="1"/>
  <c r="H429" i="1" s="1"/>
  <c r="E429" i="1"/>
  <c r="G429" i="1" s="1"/>
  <c r="I429" i="1" s="1"/>
  <c r="F428" i="1"/>
  <c r="H428" i="1" s="1"/>
  <c r="E428" i="1"/>
  <c r="G428" i="1" s="1"/>
  <c r="F427" i="1"/>
  <c r="H427" i="1" s="1"/>
  <c r="E427" i="1"/>
  <c r="G427" i="1" s="1"/>
  <c r="I427" i="1" s="1"/>
  <c r="F426" i="1"/>
  <c r="H426" i="1" s="1"/>
  <c r="E426" i="1"/>
  <c r="G426" i="1" s="1"/>
  <c r="F425" i="1"/>
  <c r="H425" i="1" s="1"/>
  <c r="E425" i="1"/>
  <c r="G425" i="1" s="1"/>
  <c r="I425" i="1" s="1"/>
  <c r="F424" i="1"/>
  <c r="H424" i="1" s="1"/>
  <c r="E424" i="1"/>
  <c r="G424" i="1" s="1"/>
  <c r="I424" i="1" s="1"/>
  <c r="F423" i="1"/>
  <c r="H423" i="1" s="1"/>
  <c r="E423" i="1"/>
  <c r="G423" i="1" s="1"/>
  <c r="F422" i="1"/>
  <c r="H422" i="1" s="1"/>
  <c r="E422" i="1"/>
  <c r="G422" i="1" s="1"/>
  <c r="F421" i="1"/>
  <c r="H421" i="1" s="1"/>
  <c r="E421" i="1"/>
  <c r="G421" i="1" s="1"/>
  <c r="F420" i="1"/>
  <c r="H420" i="1" s="1"/>
  <c r="E420" i="1"/>
  <c r="G420" i="1" s="1"/>
  <c r="F419" i="1"/>
  <c r="H419" i="1" s="1"/>
  <c r="E419" i="1"/>
  <c r="G419" i="1" s="1"/>
  <c r="I419" i="1" s="1"/>
  <c r="F418" i="1"/>
  <c r="H418" i="1" s="1"/>
  <c r="E418" i="1"/>
  <c r="G418" i="1" s="1"/>
  <c r="F417" i="1"/>
  <c r="H417" i="1" s="1"/>
  <c r="E417" i="1"/>
  <c r="G417" i="1" s="1"/>
  <c r="I417" i="1" s="1"/>
  <c r="F416" i="1"/>
  <c r="H416" i="1" s="1"/>
  <c r="E416" i="1"/>
  <c r="G416" i="1" s="1"/>
  <c r="F415" i="1"/>
  <c r="H415" i="1" s="1"/>
  <c r="E415" i="1"/>
  <c r="G415" i="1" s="1"/>
  <c r="I415" i="1" s="1"/>
  <c r="F414" i="1"/>
  <c r="H414" i="1" s="1"/>
  <c r="E414" i="1"/>
  <c r="G414" i="1" s="1"/>
  <c r="I414" i="1" s="1"/>
  <c r="F413" i="1"/>
  <c r="H413" i="1" s="1"/>
  <c r="E413" i="1"/>
  <c r="G413" i="1" s="1"/>
  <c r="F412" i="1"/>
  <c r="H412" i="1" s="1"/>
  <c r="E412" i="1"/>
  <c r="G412" i="1" s="1"/>
  <c r="F411" i="1"/>
  <c r="H411" i="1" s="1"/>
  <c r="E411" i="1"/>
  <c r="G411" i="1" s="1"/>
  <c r="F410" i="1"/>
  <c r="H410" i="1" s="1"/>
  <c r="E410" i="1"/>
  <c r="G410" i="1" s="1"/>
  <c r="F409" i="1"/>
  <c r="H409" i="1" s="1"/>
  <c r="E409" i="1"/>
  <c r="G409" i="1" s="1"/>
  <c r="I409" i="1" s="1"/>
  <c r="F408" i="1"/>
  <c r="H408" i="1" s="1"/>
  <c r="E408" i="1"/>
  <c r="G408" i="1" s="1"/>
  <c r="F407" i="1"/>
  <c r="H407" i="1" s="1"/>
  <c r="E407" i="1"/>
  <c r="G407" i="1" s="1"/>
  <c r="I407" i="1" s="1"/>
  <c r="F406" i="1"/>
  <c r="H406" i="1" s="1"/>
  <c r="E406" i="1"/>
  <c r="G406" i="1" s="1"/>
  <c r="F405" i="1"/>
  <c r="H405" i="1" s="1"/>
  <c r="E405" i="1"/>
  <c r="G405" i="1" s="1"/>
  <c r="I405" i="1" s="1"/>
  <c r="F404" i="1"/>
  <c r="H404" i="1" s="1"/>
  <c r="E404" i="1"/>
  <c r="G404" i="1" s="1"/>
  <c r="I404" i="1" s="1"/>
  <c r="F403" i="1"/>
  <c r="H403" i="1" s="1"/>
  <c r="E403" i="1"/>
  <c r="G403" i="1" s="1"/>
  <c r="F402" i="1"/>
  <c r="H402" i="1" s="1"/>
  <c r="E402" i="1"/>
  <c r="G402" i="1" s="1"/>
  <c r="F401" i="1"/>
  <c r="H401" i="1" s="1"/>
  <c r="E401" i="1"/>
  <c r="G401" i="1" s="1"/>
  <c r="F400" i="1"/>
  <c r="H400" i="1" s="1"/>
  <c r="E400" i="1"/>
  <c r="G400" i="1" s="1"/>
  <c r="F399" i="1"/>
  <c r="H399" i="1" s="1"/>
  <c r="E399" i="1"/>
  <c r="G399" i="1" s="1"/>
  <c r="I399" i="1" s="1"/>
  <c r="F398" i="1"/>
  <c r="H398" i="1" s="1"/>
  <c r="E398" i="1"/>
  <c r="G398" i="1" s="1"/>
  <c r="F397" i="1"/>
  <c r="H397" i="1" s="1"/>
  <c r="E397" i="1"/>
  <c r="G397" i="1" s="1"/>
  <c r="I397" i="1" s="1"/>
  <c r="F396" i="1"/>
  <c r="H396" i="1" s="1"/>
  <c r="E396" i="1"/>
  <c r="G396" i="1" s="1"/>
  <c r="F395" i="1"/>
  <c r="H395" i="1" s="1"/>
  <c r="E395" i="1"/>
  <c r="G395" i="1" s="1"/>
  <c r="I395" i="1" s="1"/>
  <c r="F394" i="1"/>
  <c r="H394" i="1" s="1"/>
  <c r="E394" i="1"/>
  <c r="G394" i="1" s="1"/>
  <c r="I394" i="1" s="1"/>
  <c r="F393" i="1"/>
  <c r="H393" i="1" s="1"/>
  <c r="E393" i="1"/>
  <c r="G393" i="1" s="1"/>
  <c r="F392" i="1"/>
  <c r="H392" i="1" s="1"/>
  <c r="E392" i="1"/>
  <c r="G392" i="1" s="1"/>
  <c r="F391" i="1"/>
  <c r="H391" i="1" s="1"/>
  <c r="E391" i="1"/>
  <c r="G391" i="1" s="1"/>
  <c r="F390" i="1"/>
  <c r="H390" i="1" s="1"/>
  <c r="E390" i="1"/>
  <c r="G390" i="1" s="1"/>
  <c r="F389" i="1"/>
  <c r="H389" i="1" s="1"/>
  <c r="E389" i="1"/>
  <c r="G389" i="1" s="1"/>
  <c r="I389" i="1" s="1"/>
  <c r="F388" i="1"/>
  <c r="H388" i="1" s="1"/>
  <c r="E388" i="1"/>
  <c r="G388" i="1" s="1"/>
  <c r="F387" i="1"/>
  <c r="H387" i="1" s="1"/>
  <c r="E387" i="1"/>
  <c r="G387" i="1" s="1"/>
  <c r="I387" i="1" s="1"/>
  <c r="F386" i="1"/>
  <c r="H386" i="1" s="1"/>
  <c r="E386" i="1"/>
  <c r="G386" i="1" s="1"/>
  <c r="F385" i="1"/>
  <c r="H385" i="1" s="1"/>
  <c r="E385" i="1"/>
  <c r="G385" i="1" s="1"/>
  <c r="I385" i="1" s="1"/>
  <c r="F384" i="1"/>
  <c r="H384" i="1" s="1"/>
  <c r="E384" i="1"/>
  <c r="G384" i="1" s="1"/>
  <c r="I384" i="1" s="1"/>
  <c r="F383" i="1"/>
  <c r="H383" i="1" s="1"/>
  <c r="E383" i="1"/>
  <c r="G383" i="1" s="1"/>
  <c r="F382" i="1"/>
  <c r="H382" i="1" s="1"/>
  <c r="E382" i="1"/>
  <c r="G382" i="1" s="1"/>
  <c r="F381" i="1"/>
  <c r="H381" i="1" s="1"/>
  <c r="E381" i="1"/>
  <c r="G381" i="1" s="1"/>
  <c r="F380" i="1"/>
  <c r="H380" i="1" s="1"/>
  <c r="E380" i="1"/>
  <c r="G380" i="1" s="1"/>
  <c r="F379" i="1"/>
  <c r="H379" i="1" s="1"/>
  <c r="E379" i="1"/>
  <c r="G379" i="1" s="1"/>
  <c r="I379" i="1" s="1"/>
  <c r="F378" i="1"/>
  <c r="H378" i="1" s="1"/>
  <c r="E378" i="1"/>
  <c r="G378" i="1" s="1"/>
  <c r="F377" i="1"/>
  <c r="H377" i="1" s="1"/>
  <c r="E377" i="1"/>
  <c r="G377" i="1" s="1"/>
  <c r="I377" i="1" s="1"/>
  <c r="F376" i="1"/>
  <c r="H376" i="1" s="1"/>
  <c r="E376" i="1"/>
  <c r="G376" i="1" s="1"/>
  <c r="F375" i="1"/>
  <c r="H375" i="1" s="1"/>
  <c r="E375" i="1"/>
  <c r="G375" i="1" s="1"/>
  <c r="I375" i="1" s="1"/>
  <c r="F374" i="1"/>
  <c r="H374" i="1" s="1"/>
  <c r="E374" i="1"/>
  <c r="G374" i="1" s="1"/>
  <c r="I374" i="1" s="1"/>
  <c r="F373" i="1"/>
  <c r="H373" i="1" s="1"/>
  <c r="E373" i="1"/>
  <c r="G373" i="1" s="1"/>
  <c r="F372" i="1"/>
  <c r="H372" i="1" s="1"/>
  <c r="E372" i="1"/>
  <c r="G372" i="1" s="1"/>
  <c r="F371" i="1"/>
  <c r="H371" i="1" s="1"/>
  <c r="E371" i="1"/>
  <c r="G371" i="1" s="1"/>
  <c r="F370" i="1"/>
  <c r="H370" i="1" s="1"/>
  <c r="E370" i="1"/>
  <c r="G370" i="1" s="1"/>
  <c r="F369" i="1"/>
  <c r="H369" i="1" s="1"/>
  <c r="E369" i="1"/>
  <c r="G369" i="1" s="1"/>
  <c r="I369" i="1" s="1"/>
  <c r="F368" i="1"/>
  <c r="H368" i="1" s="1"/>
  <c r="E368" i="1"/>
  <c r="G368" i="1" s="1"/>
  <c r="F367" i="1"/>
  <c r="H367" i="1" s="1"/>
  <c r="E367" i="1"/>
  <c r="G367" i="1" s="1"/>
  <c r="I367" i="1" s="1"/>
  <c r="F366" i="1"/>
  <c r="H366" i="1" s="1"/>
  <c r="E366" i="1"/>
  <c r="G366" i="1" s="1"/>
  <c r="F365" i="1"/>
  <c r="H365" i="1" s="1"/>
  <c r="E365" i="1"/>
  <c r="G365" i="1" s="1"/>
  <c r="I365" i="1" s="1"/>
  <c r="F364" i="1"/>
  <c r="H364" i="1" s="1"/>
  <c r="E364" i="1"/>
  <c r="G364" i="1" s="1"/>
  <c r="I364" i="1" s="1"/>
  <c r="F363" i="1"/>
  <c r="H363" i="1" s="1"/>
  <c r="E363" i="1"/>
  <c r="G363" i="1" s="1"/>
  <c r="F362" i="1"/>
  <c r="H362" i="1" s="1"/>
  <c r="E362" i="1"/>
  <c r="G362" i="1" s="1"/>
  <c r="F361" i="1"/>
  <c r="H361" i="1" s="1"/>
  <c r="E361" i="1"/>
  <c r="G361" i="1" s="1"/>
  <c r="F360" i="1"/>
  <c r="H360" i="1" s="1"/>
  <c r="E360" i="1"/>
  <c r="G360" i="1" s="1"/>
  <c r="F359" i="1"/>
  <c r="H359" i="1" s="1"/>
  <c r="E359" i="1"/>
  <c r="G359" i="1" s="1"/>
  <c r="I359" i="1" s="1"/>
  <c r="F358" i="1"/>
  <c r="H358" i="1" s="1"/>
  <c r="E358" i="1"/>
  <c r="G358" i="1" s="1"/>
  <c r="F357" i="1"/>
  <c r="H357" i="1" s="1"/>
  <c r="E357" i="1"/>
  <c r="G357" i="1" s="1"/>
  <c r="I357" i="1" s="1"/>
  <c r="F356" i="1"/>
  <c r="H356" i="1" s="1"/>
  <c r="E356" i="1"/>
  <c r="G356" i="1" s="1"/>
  <c r="F355" i="1"/>
  <c r="H355" i="1" s="1"/>
  <c r="E355" i="1"/>
  <c r="G355" i="1" s="1"/>
  <c r="I355" i="1" s="1"/>
  <c r="F354" i="1"/>
  <c r="H354" i="1" s="1"/>
  <c r="E354" i="1"/>
  <c r="G354" i="1" s="1"/>
  <c r="I354" i="1" s="1"/>
  <c r="F353" i="1"/>
  <c r="H353" i="1" s="1"/>
  <c r="E353" i="1"/>
  <c r="G353" i="1" s="1"/>
  <c r="F352" i="1"/>
  <c r="H352" i="1" s="1"/>
  <c r="E352" i="1"/>
  <c r="G352" i="1" s="1"/>
  <c r="F351" i="1"/>
  <c r="H351" i="1" s="1"/>
  <c r="E351" i="1"/>
  <c r="G351" i="1" s="1"/>
  <c r="F350" i="1"/>
  <c r="H350" i="1" s="1"/>
  <c r="E350" i="1"/>
  <c r="G350" i="1" s="1"/>
  <c r="F349" i="1"/>
  <c r="H349" i="1" s="1"/>
  <c r="E349" i="1"/>
  <c r="G349" i="1" s="1"/>
  <c r="I349" i="1" s="1"/>
  <c r="F348" i="1"/>
  <c r="H348" i="1" s="1"/>
  <c r="E348" i="1"/>
  <c r="G348" i="1" s="1"/>
  <c r="F347" i="1"/>
  <c r="H347" i="1" s="1"/>
  <c r="E347" i="1"/>
  <c r="G347" i="1" s="1"/>
  <c r="I347" i="1" s="1"/>
  <c r="F346" i="1"/>
  <c r="H346" i="1" s="1"/>
  <c r="E346" i="1"/>
  <c r="G346" i="1" s="1"/>
  <c r="F345" i="1"/>
  <c r="H345" i="1" s="1"/>
  <c r="E345" i="1"/>
  <c r="G345" i="1" s="1"/>
  <c r="I345" i="1" s="1"/>
  <c r="F344" i="1"/>
  <c r="H344" i="1" s="1"/>
  <c r="E344" i="1"/>
  <c r="G344" i="1" s="1"/>
  <c r="I344" i="1" s="1"/>
  <c r="F343" i="1"/>
  <c r="H343" i="1" s="1"/>
  <c r="E343" i="1"/>
  <c r="G343" i="1" s="1"/>
  <c r="F342" i="1"/>
  <c r="H342" i="1" s="1"/>
  <c r="E342" i="1"/>
  <c r="G342" i="1" s="1"/>
  <c r="F341" i="1"/>
  <c r="H341" i="1" s="1"/>
  <c r="E341" i="1"/>
  <c r="G341" i="1" s="1"/>
  <c r="F340" i="1"/>
  <c r="H340" i="1" s="1"/>
  <c r="E340" i="1"/>
  <c r="G340" i="1" s="1"/>
  <c r="F339" i="1"/>
  <c r="H339" i="1" s="1"/>
  <c r="E339" i="1"/>
  <c r="G339" i="1" s="1"/>
  <c r="I339" i="1" s="1"/>
  <c r="F338" i="1"/>
  <c r="H338" i="1" s="1"/>
  <c r="E338" i="1"/>
  <c r="G338" i="1" s="1"/>
  <c r="F337" i="1"/>
  <c r="H337" i="1" s="1"/>
  <c r="E337" i="1"/>
  <c r="G337" i="1" s="1"/>
  <c r="I337" i="1" s="1"/>
  <c r="F336" i="1"/>
  <c r="H336" i="1" s="1"/>
  <c r="E336" i="1"/>
  <c r="G336" i="1" s="1"/>
  <c r="F335" i="1"/>
  <c r="H335" i="1" s="1"/>
  <c r="E335" i="1"/>
  <c r="G335" i="1" s="1"/>
  <c r="I335" i="1" s="1"/>
  <c r="F334" i="1"/>
  <c r="H334" i="1" s="1"/>
  <c r="E334" i="1"/>
  <c r="G334" i="1" s="1"/>
  <c r="I334" i="1" s="1"/>
  <c r="F333" i="1"/>
  <c r="H333" i="1" s="1"/>
  <c r="E333" i="1"/>
  <c r="G333" i="1" s="1"/>
  <c r="F332" i="1"/>
  <c r="H332" i="1" s="1"/>
  <c r="E332" i="1"/>
  <c r="G332" i="1" s="1"/>
  <c r="F331" i="1"/>
  <c r="H331" i="1" s="1"/>
  <c r="E331" i="1"/>
  <c r="G331" i="1" s="1"/>
  <c r="F330" i="1"/>
  <c r="H330" i="1" s="1"/>
  <c r="E330" i="1"/>
  <c r="G330" i="1" s="1"/>
  <c r="F329" i="1"/>
  <c r="H329" i="1" s="1"/>
  <c r="E329" i="1"/>
  <c r="G329" i="1" s="1"/>
  <c r="I329" i="1" s="1"/>
  <c r="F328" i="1"/>
  <c r="H328" i="1" s="1"/>
  <c r="E328" i="1"/>
  <c r="G328" i="1" s="1"/>
  <c r="F327" i="1"/>
  <c r="H327" i="1" s="1"/>
  <c r="E327" i="1"/>
  <c r="G327" i="1" s="1"/>
  <c r="I327" i="1" s="1"/>
  <c r="F326" i="1"/>
  <c r="H326" i="1" s="1"/>
  <c r="E326" i="1"/>
  <c r="G326" i="1" s="1"/>
  <c r="F325" i="1"/>
  <c r="H325" i="1" s="1"/>
  <c r="E325" i="1"/>
  <c r="G325" i="1" s="1"/>
  <c r="I325" i="1" s="1"/>
  <c r="F324" i="1"/>
  <c r="H324" i="1" s="1"/>
  <c r="E324" i="1"/>
  <c r="G324" i="1" s="1"/>
  <c r="I324" i="1" s="1"/>
  <c r="F323" i="1"/>
  <c r="H323" i="1" s="1"/>
  <c r="E323" i="1"/>
  <c r="G323" i="1" s="1"/>
  <c r="F322" i="1"/>
  <c r="H322" i="1" s="1"/>
  <c r="E322" i="1"/>
  <c r="G322" i="1" s="1"/>
  <c r="F321" i="1"/>
  <c r="H321" i="1" s="1"/>
  <c r="E321" i="1"/>
  <c r="G321" i="1" s="1"/>
  <c r="F320" i="1"/>
  <c r="H320" i="1" s="1"/>
  <c r="E320" i="1"/>
  <c r="G320" i="1" s="1"/>
  <c r="F319" i="1"/>
  <c r="H319" i="1" s="1"/>
  <c r="E319" i="1"/>
  <c r="G319" i="1" s="1"/>
  <c r="I319" i="1" s="1"/>
  <c r="F318" i="1"/>
  <c r="H318" i="1" s="1"/>
  <c r="E318" i="1"/>
  <c r="G318" i="1" s="1"/>
  <c r="F317" i="1"/>
  <c r="H317" i="1" s="1"/>
  <c r="E317" i="1"/>
  <c r="G317" i="1" s="1"/>
  <c r="I317" i="1" s="1"/>
  <c r="F316" i="1"/>
  <c r="H316" i="1" s="1"/>
  <c r="E316" i="1"/>
  <c r="G316" i="1" s="1"/>
  <c r="F315" i="1"/>
  <c r="H315" i="1" s="1"/>
  <c r="E315" i="1"/>
  <c r="G315" i="1" s="1"/>
  <c r="I315" i="1" s="1"/>
  <c r="F314" i="1"/>
  <c r="H314" i="1" s="1"/>
  <c r="E314" i="1"/>
  <c r="G314" i="1" s="1"/>
  <c r="I314" i="1" s="1"/>
  <c r="F313" i="1"/>
  <c r="H313" i="1" s="1"/>
  <c r="E313" i="1"/>
  <c r="G313" i="1" s="1"/>
  <c r="F312" i="1"/>
  <c r="H312" i="1" s="1"/>
  <c r="E312" i="1"/>
  <c r="G312" i="1" s="1"/>
  <c r="F311" i="1"/>
  <c r="H311" i="1" s="1"/>
  <c r="E311" i="1"/>
  <c r="G311" i="1" s="1"/>
  <c r="F310" i="1"/>
  <c r="H310" i="1" s="1"/>
  <c r="E310" i="1"/>
  <c r="G310" i="1" s="1"/>
  <c r="F309" i="1"/>
  <c r="H309" i="1" s="1"/>
  <c r="E309" i="1"/>
  <c r="G309" i="1" s="1"/>
  <c r="I309" i="1" s="1"/>
  <c r="F308" i="1"/>
  <c r="H308" i="1" s="1"/>
  <c r="E308" i="1"/>
  <c r="G308" i="1" s="1"/>
  <c r="F307" i="1"/>
  <c r="H307" i="1" s="1"/>
  <c r="E307" i="1"/>
  <c r="G307" i="1" s="1"/>
  <c r="I307" i="1" s="1"/>
  <c r="F306" i="1"/>
  <c r="H306" i="1" s="1"/>
  <c r="E306" i="1"/>
  <c r="G306" i="1" s="1"/>
  <c r="F305" i="1"/>
  <c r="H305" i="1" s="1"/>
  <c r="E305" i="1"/>
  <c r="G305" i="1" s="1"/>
  <c r="I305" i="1" s="1"/>
  <c r="F304" i="1"/>
  <c r="H304" i="1" s="1"/>
  <c r="E304" i="1"/>
  <c r="G304" i="1" s="1"/>
  <c r="I304" i="1" s="1"/>
  <c r="F303" i="1"/>
  <c r="H303" i="1" s="1"/>
  <c r="E303" i="1"/>
  <c r="G303" i="1" s="1"/>
  <c r="F302" i="1"/>
  <c r="H302" i="1" s="1"/>
  <c r="E302" i="1"/>
  <c r="G302" i="1" s="1"/>
  <c r="F301" i="1"/>
  <c r="H301" i="1" s="1"/>
  <c r="E301" i="1"/>
  <c r="G301" i="1" s="1"/>
  <c r="F300" i="1"/>
  <c r="H300" i="1" s="1"/>
  <c r="E300" i="1"/>
  <c r="G300" i="1" s="1"/>
  <c r="F299" i="1"/>
  <c r="H299" i="1" s="1"/>
  <c r="E299" i="1"/>
  <c r="G299" i="1" s="1"/>
  <c r="I299" i="1" s="1"/>
  <c r="F298" i="1"/>
  <c r="H298" i="1" s="1"/>
  <c r="E298" i="1"/>
  <c r="G298" i="1" s="1"/>
  <c r="F297" i="1"/>
  <c r="H297" i="1" s="1"/>
  <c r="E297" i="1"/>
  <c r="G297" i="1" s="1"/>
  <c r="I297" i="1" s="1"/>
  <c r="F296" i="1"/>
  <c r="H296" i="1" s="1"/>
  <c r="E296" i="1"/>
  <c r="G296" i="1" s="1"/>
  <c r="F295" i="1"/>
  <c r="H295" i="1" s="1"/>
  <c r="E295" i="1"/>
  <c r="G295" i="1" s="1"/>
  <c r="I295" i="1" s="1"/>
  <c r="F294" i="1"/>
  <c r="H294" i="1" s="1"/>
  <c r="E294" i="1"/>
  <c r="G294" i="1" s="1"/>
  <c r="I294" i="1" s="1"/>
  <c r="F293" i="1"/>
  <c r="H293" i="1" s="1"/>
  <c r="E293" i="1"/>
  <c r="G293" i="1" s="1"/>
  <c r="F292" i="1"/>
  <c r="H292" i="1" s="1"/>
  <c r="E292" i="1"/>
  <c r="G292" i="1" s="1"/>
  <c r="F291" i="1"/>
  <c r="H291" i="1" s="1"/>
  <c r="E291" i="1"/>
  <c r="G291" i="1" s="1"/>
  <c r="F290" i="1"/>
  <c r="H290" i="1" s="1"/>
  <c r="E290" i="1"/>
  <c r="G290" i="1" s="1"/>
  <c r="F289" i="1"/>
  <c r="H289" i="1" s="1"/>
  <c r="E289" i="1"/>
  <c r="G289" i="1" s="1"/>
  <c r="I289" i="1" s="1"/>
  <c r="F288" i="1"/>
  <c r="H288" i="1" s="1"/>
  <c r="E288" i="1"/>
  <c r="G288" i="1" s="1"/>
  <c r="F287" i="1"/>
  <c r="H287" i="1" s="1"/>
  <c r="E287" i="1"/>
  <c r="G287" i="1" s="1"/>
  <c r="I287" i="1" s="1"/>
  <c r="F286" i="1"/>
  <c r="H286" i="1" s="1"/>
  <c r="E286" i="1"/>
  <c r="G286" i="1" s="1"/>
  <c r="F285" i="1"/>
  <c r="H285" i="1" s="1"/>
  <c r="E285" i="1"/>
  <c r="G285" i="1" s="1"/>
  <c r="I285" i="1" s="1"/>
  <c r="F284" i="1"/>
  <c r="H284" i="1" s="1"/>
  <c r="E284" i="1"/>
  <c r="G284" i="1" s="1"/>
  <c r="I284" i="1" s="1"/>
  <c r="F283" i="1"/>
  <c r="H283" i="1" s="1"/>
  <c r="E283" i="1"/>
  <c r="G283" i="1" s="1"/>
  <c r="F282" i="1"/>
  <c r="H282" i="1" s="1"/>
  <c r="E282" i="1"/>
  <c r="G282" i="1" s="1"/>
  <c r="F281" i="1"/>
  <c r="H281" i="1" s="1"/>
  <c r="E281" i="1"/>
  <c r="G281" i="1" s="1"/>
  <c r="F280" i="1"/>
  <c r="H280" i="1" s="1"/>
  <c r="E280" i="1"/>
  <c r="G280" i="1" s="1"/>
  <c r="F279" i="1"/>
  <c r="H279" i="1" s="1"/>
  <c r="E279" i="1"/>
  <c r="G279" i="1" s="1"/>
  <c r="I279" i="1" s="1"/>
  <c r="F278" i="1"/>
  <c r="H278" i="1" s="1"/>
  <c r="E278" i="1"/>
  <c r="G278" i="1" s="1"/>
  <c r="F277" i="1"/>
  <c r="H277" i="1" s="1"/>
  <c r="E277" i="1"/>
  <c r="G277" i="1" s="1"/>
  <c r="I277" i="1" s="1"/>
  <c r="F276" i="1"/>
  <c r="H276" i="1" s="1"/>
  <c r="E276" i="1"/>
  <c r="G276" i="1" s="1"/>
  <c r="F275" i="1"/>
  <c r="H275" i="1" s="1"/>
  <c r="E275" i="1"/>
  <c r="G275" i="1" s="1"/>
  <c r="I275" i="1" s="1"/>
  <c r="F274" i="1"/>
  <c r="H274" i="1" s="1"/>
  <c r="E274" i="1"/>
  <c r="G274" i="1" s="1"/>
  <c r="I274" i="1" s="1"/>
  <c r="F273" i="1"/>
  <c r="H273" i="1" s="1"/>
  <c r="E273" i="1"/>
  <c r="G273" i="1" s="1"/>
  <c r="F272" i="1"/>
  <c r="H272" i="1" s="1"/>
  <c r="E272" i="1"/>
  <c r="G272" i="1" s="1"/>
  <c r="F271" i="1"/>
  <c r="H271" i="1" s="1"/>
  <c r="E271" i="1"/>
  <c r="G271" i="1" s="1"/>
  <c r="F270" i="1"/>
  <c r="H270" i="1" s="1"/>
  <c r="E270" i="1"/>
  <c r="G270" i="1" s="1"/>
  <c r="F269" i="1"/>
  <c r="H269" i="1" s="1"/>
  <c r="E269" i="1"/>
  <c r="G269" i="1" s="1"/>
  <c r="I269" i="1" s="1"/>
  <c r="F268" i="1"/>
  <c r="H268" i="1" s="1"/>
  <c r="E268" i="1"/>
  <c r="G268" i="1" s="1"/>
  <c r="F267" i="1"/>
  <c r="H267" i="1" s="1"/>
  <c r="E267" i="1"/>
  <c r="G267" i="1" s="1"/>
  <c r="I267" i="1" s="1"/>
  <c r="F266" i="1"/>
  <c r="H266" i="1" s="1"/>
  <c r="E266" i="1"/>
  <c r="G266" i="1" s="1"/>
  <c r="F265" i="1"/>
  <c r="H265" i="1" s="1"/>
  <c r="E265" i="1"/>
  <c r="G265" i="1" s="1"/>
  <c r="I265" i="1" s="1"/>
  <c r="F264" i="1"/>
  <c r="H264" i="1" s="1"/>
  <c r="E264" i="1"/>
  <c r="G264" i="1" s="1"/>
  <c r="I264" i="1" s="1"/>
  <c r="F263" i="1"/>
  <c r="H263" i="1" s="1"/>
  <c r="E263" i="1"/>
  <c r="G263" i="1" s="1"/>
  <c r="F262" i="1"/>
  <c r="H262" i="1" s="1"/>
  <c r="E262" i="1"/>
  <c r="G262" i="1" s="1"/>
  <c r="F261" i="1"/>
  <c r="H261" i="1" s="1"/>
  <c r="E261" i="1"/>
  <c r="G261" i="1" s="1"/>
  <c r="F260" i="1"/>
  <c r="H260" i="1" s="1"/>
  <c r="E260" i="1"/>
  <c r="G260" i="1" s="1"/>
  <c r="F259" i="1"/>
  <c r="H259" i="1" s="1"/>
  <c r="E259" i="1"/>
  <c r="G259" i="1" s="1"/>
  <c r="I259" i="1" s="1"/>
  <c r="F258" i="1"/>
  <c r="H258" i="1" s="1"/>
  <c r="E258" i="1"/>
  <c r="G258" i="1" s="1"/>
  <c r="F257" i="1"/>
  <c r="H257" i="1" s="1"/>
  <c r="E257" i="1"/>
  <c r="G257" i="1" s="1"/>
  <c r="I257" i="1" s="1"/>
  <c r="F256" i="1"/>
  <c r="H256" i="1" s="1"/>
  <c r="E256" i="1"/>
  <c r="G256" i="1" s="1"/>
  <c r="F255" i="1"/>
  <c r="H255" i="1" s="1"/>
  <c r="E255" i="1"/>
  <c r="G255" i="1" s="1"/>
  <c r="I255" i="1" s="1"/>
  <c r="F254" i="1"/>
  <c r="H254" i="1" s="1"/>
  <c r="E254" i="1"/>
  <c r="G254" i="1" s="1"/>
  <c r="I254" i="1" s="1"/>
  <c r="F253" i="1"/>
  <c r="H253" i="1" s="1"/>
  <c r="E253" i="1"/>
  <c r="G253" i="1" s="1"/>
  <c r="F252" i="1"/>
  <c r="H252" i="1" s="1"/>
  <c r="E252" i="1"/>
  <c r="G252" i="1" s="1"/>
  <c r="F251" i="1"/>
  <c r="H251" i="1" s="1"/>
  <c r="E251" i="1"/>
  <c r="G251" i="1" s="1"/>
  <c r="F250" i="1"/>
  <c r="H250" i="1" s="1"/>
  <c r="E250" i="1"/>
  <c r="G250" i="1" s="1"/>
  <c r="F249" i="1"/>
  <c r="H249" i="1" s="1"/>
  <c r="E249" i="1"/>
  <c r="G249" i="1" s="1"/>
  <c r="I249" i="1" s="1"/>
  <c r="F248" i="1"/>
  <c r="H248" i="1" s="1"/>
  <c r="E248" i="1"/>
  <c r="G248" i="1" s="1"/>
  <c r="F247" i="1"/>
  <c r="H247" i="1" s="1"/>
  <c r="E247" i="1"/>
  <c r="G247" i="1" s="1"/>
  <c r="I247" i="1" s="1"/>
  <c r="F246" i="1"/>
  <c r="H246" i="1" s="1"/>
  <c r="E246" i="1"/>
  <c r="G246" i="1" s="1"/>
  <c r="F245" i="1"/>
  <c r="H245" i="1" s="1"/>
  <c r="E245" i="1"/>
  <c r="G245" i="1" s="1"/>
  <c r="I245" i="1" s="1"/>
  <c r="F244" i="1"/>
  <c r="H244" i="1" s="1"/>
  <c r="E244" i="1"/>
  <c r="G244" i="1" s="1"/>
  <c r="I244" i="1" s="1"/>
  <c r="F243" i="1"/>
  <c r="H243" i="1" s="1"/>
  <c r="E243" i="1"/>
  <c r="G243" i="1" s="1"/>
  <c r="F242" i="1"/>
  <c r="H242" i="1" s="1"/>
  <c r="E242" i="1"/>
  <c r="G242" i="1" s="1"/>
  <c r="F241" i="1"/>
  <c r="H241" i="1" s="1"/>
  <c r="E241" i="1"/>
  <c r="G241" i="1" s="1"/>
  <c r="F240" i="1"/>
  <c r="H240" i="1" s="1"/>
  <c r="E240" i="1"/>
  <c r="G240" i="1" s="1"/>
  <c r="F239" i="1"/>
  <c r="H239" i="1" s="1"/>
  <c r="E239" i="1"/>
  <c r="G239" i="1" s="1"/>
  <c r="I239" i="1" s="1"/>
  <c r="F238" i="1"/>
  <c r="H238" i="1" s="1"/>
  <c r="E238" i="1"/>
  <c r="G238" i="1" s="1"/>
  <c r="F237" i="1"/>
  <c r="H237" i="1" s="1"/>
  <c r="E237" i="1"/>
  <c r="G237" i="1" s="1"/>
  <c r="I237" i="1" s="1"/>
  <c r="F236" i="1"/>
  <c r="H236" i="1" s="1"/>
  <c r="E236" i="1"/>
  <c r="G236" i="1" s="1"/>
  <c r="F235" i="1"/>
  <c r="H235" i="1" s="1"/>
  <c r="E235" i="1"/>
  <c r="G235" i="1" s="1"/>
  <c r="I235" i="1" s="1"/>
  <c r="F234" i="1"/>
  <c r="H234" i="1" s="1"/>
  <c r="E234" i="1"/>
  <c r="G234" i="1" s="1"/>
  <c r="I234" i="1" s="1"/>
  <c r="F233" i="1"/>
  <c r="H233" i="1" s="1"/>
  <c r="E233" i="1"/>
  <c r="G233" i="1" s="1"/>
  <c r="F232" i="1"/>
  <c r="H232" i="1" s="1"/>
  <c r="E232" i="1"/>
  <c r="G232" i="1" s="1"/>
  <c r="F231" i="1"/>
  <c r="H231" i="1" s="1"/>
  <c r="E231" i="1"/>
  <c r="G231" i="1" s="1"/>
  <c r="F230" i="1"/>
  <c r="H230" i="1" s="1"/>
  <c r="E230" i="1"/>
  <c r="G230" i="1" s="1"/>
  <c r="F229" i="1"/>
  <c r="H229" i="1" s="1"/>
  <c r="E229" i="1"/>
  <c r="G229" i="1" s="1"/>
  <c r="I229" i="1" s="1"/>
  <c r="F228" i="1"/>
  <c r="H228" i="1" s="1"/>
  <c r="E228" i="1"/>
  <c r="G228" i="1" s="1"/>
  <c r="F227" i="1"/>
  <c r="H227" i="1" s="1"/>
  <c r="E227" i="1"/>
  <c r="G227" i="1" s="1"/>
  <c r="I227" i="1" s="1"/>
  <c r="F226" i="1"/>
  <c r="H226" i="1" s="1"/>
  <c r="E226" i="1"/>
  <c r="G226" i="1" s="1"/>
  <c r="F225" i="1"/>
  <c r="H225" i="1" s="1"/>
  <c r="E225" i="1"/>
  <c r="G225" i="1" s="1"/>
  <c r="I225" i="1" s="1"/>
  <c r="F224" i="1"/>
  <c r="H224" i="1" s="1"/>
  <c r="E224" i="1"/>
  <c r="G224" i="1" s="1"/>
  <c r="I224" i="1" s="1"/>
  <c r="F223" i="1"/>
  <c r="H223" i="1" s="1"/>
  <c r="E223" i="1"/>
  <c r="G223" i="1" s="1"/>
  <c r="F222" i="1"/>
  <c r="H222" i="1" s="1"/>
  <c r="E222" i="1"/>
  <c r="G222" i="1" s="1"/>
  <c r="F221" i="1"/>
  <c r="H221" i="1" s="1"/>
  <c r="E221" i="1"/>
  <c r="G221" i="1" s="1"/>
  <c r="F220" i="1"/>
  <c r="H220" i="1" s="1"/>
  <c r="E220" i="1"/>
  <c r="G220" i="1" s="1"/>
  <c r="F219" i="1"/>
  <c r="H219" i="1" s="1"/>
  <c r="E219" i="1"/>
  <c r="G219" i="1" s="1"/>
  <c r="I219" i="1" s="1"/>
  <c r="F218" i="1"/>
  <c r="H218" i="1" s="1"/>
  <c r="E218" i="1"/>
  <c r="G218" i="1" s="1"/>
  <c r="F217" i="1"/>
  <c r="H217" i="1" s="1"/>
  <c r="E217" i="1"/>
  <c r="G217" i="1" s="1"/>
  <c r="I217" i="1" s="1"/>
  <c r="F216" i="1"/>
  <c r="H216" i="1" s="1"/>
  <c r="E216" i="1"/>
  <c r="G216" i="1" s="1"/>
  <c r="F215" i="1"/>
  <c r="H215" i="1" s="1"/>
  <c r="E215" i="1"/>
  <c r="G215" i="1" s="1"/>
  <c r="I215" i="1" s="1"/>
  <c r="F214" i="1"/>
  <c r="H214" i="1" s="1"/>
  <c r="E214" i="1"/>
  <c r="G214" i="1" s="1"/>
  <c r="I214" i="1" s="1"/>
  <c r="F213" i="1"/>
  <c r="H213" i="1" s="1"/>
  <c r="E213" i="1"/>
  <c r="G213" i="1" s="1"/>
  <c r="F212" i="1"/>
  <c r="H212" i="1" s="1"/>
  <c r="E212" i="1"/>
  <c r="G212" i="1" s="1"/>
  <c r="F211" i="1"/>
  <c r="H211" i="1" s="1"/>
  <c r="E211" i="1"/>
  <c r="G211" i="1" s="1"/>
  <c r="F210" i="1"/>
  <c r="H210" i="1" s="1"/>
  <c r="E210" i="1"/>
  <c r="G210" i="1" s="1"/>
  <c r="F209" i="1"/>
  <c r="H209" i="1" s="1"/>
  <c r="E209" i="1"/>
  <c r="G209" i="1" s="1"/>
  <c r="I209" i="1" s="1"/>
  <c r="F208" i="1"/>
  <c r="H208" i="1" s="1"/>
  <c r="E208" i="1"/>
  <c r="G208" i="1" s="1"/>
  <c r="F207" i="1"/>
  <c r="H207" i="1" s="1"/>
  <c r="E207" i="1"/>
  <c r="G207" i="1" s="1"/>
  <c r="I207" i="1" s="1"/>
  <c r="F206" i="1"/>
  <c r="H206" i="1" s="1"/>
  <c r="E206" i="1"/>
  <c r="G206" i="1" s="1"/>
  <c r="F205" i="1"/>
  <c r="H205" i="1" s="1"/>
  <c r="E205" i="1"/>
  <c r="G205" i="1" s="1"/>
  <c r="I205" i="1" s="1"/>
  <c r="F204" i="1"/>
  <c r="H204" i="1" s="1"/>
  <c r="E204" i="1"/>
  <c r="G204" i="1" s="1"/>
  <c r="I204" i="1" s="1"/>
  <c r="F203" i="1"/>
  <c r="H203" i="1" s="1"/>
  <c r="E203" i="1"/>
  <c r="G203" i="1" s="1"/>
  <c r="F202" i="1"/>
  <c r="H202" i="1" s="1"/>
  <c r="E202" i="1"/>
  <c r="G202" i="1" s="1"/>
  <c r="F201" i="1"/>
  <c r="H201" i="1" s="1"/>
  <c r="E201" i="1"/>
  <c r="G201" i="1" s="1"/>
  <c r="F200" i="1"/>
  <c r="H200" i="1" s="1"/>
  <c r="E200" i="1"/>
  <c r="G200" i="1" s="1"/>
  <c r="F199" i="1"/>
  <c r="H199" i="1" s="1"/>
  <c r="E199" i="1"/>
  <c r="G199" i="1" s="1"/>
  <c r="I199" i="1" s="1"/>
  <c r="F198" i="1"/>
  <c r="H198" i="1" s="1"/>
  <c r="E198" i="1"/>
  <c r="G198" i="1" s="1"/>
  <c r="F197" i="1"/>
  <c r="H197" i="1" s="1"/>
  <c r="E197" i="1"/>
  <c r="G197" i="1" s="1"/>
  <c r="I197" i="1" s="1"/>
  <c r="F196" i="1"/>
  <c r="H196" i="1" s="1"/>
  <c r="E196" i="1"/>
  <c r="G196" i="1" s="1"/>
  <c r="F195" i="1"/>
  <c r="H195" i="1" s="1"/>
  <c r="E195" i="1"/>
  <c r="G195" i="1" s="1"/>
  <c r="I195" i="1" s="1"/>
  <c r="F194" i="1"/>
  <c r="H194" i="1" s="1"/>
  <c r="E194" i="1"/>
  <c r="G194" i="1" s="1"/>
  <c r="I194" i="1" s="1"/>
  <c r="F193" i="1"/>
  <c r="H193" i="1" s="1"/>
  <c r="E193" i="1"/>
  <c r="G193" i="1" s="1"/>
  <c r="F192" i="1"/>
  <c r="H192" i="1" s="1"/>
  <c r="E192" i="1"/>
  <c r="G192" i="1" s="1"/>
  <c r="F191" i="1"/>
  <c r="H191" i="1" s="1"/>
  <c r="E191" i="1"/>
  <c r="G191" i="1" s="1"/>
  <c r="F190" i="1"/>
  <c r="H190" i="1" s="1"/>
  <c r="E190" i="1"/>
  <c r="G190" i="1" s="1"/>
  <c r="F189" i="1"/>
  <c r="H189" i="1" s="1"/>
  <c r="E189" i="1"/>
  <c r="G189" i="1" s="1"/>
  <c r="I189" i="1" s="1"/>
  <c r="F188" i="1"/>
  <c r="H188" i="1" s="1"/>
  <c r="E188" i="1"/>
  <c r="G188" i="1" s="1"/>
  <c r="F187" i="1"/>
  <c r="H187" i="1" s="1"/>
  <c r="E187" i="1"/>
  <c r="G187" i="1" s="1"/>
  <c r="I187" i="1" s="1"/>
  <c r="F186" i="1"/>
  <c r="H186" i="1" s="1"/>
  <c r="E186" i="1"/>
  <c r="G186" i="1" s="1"/>
  <c r="F185" i="1"/>
  <c r="H185" i="1" s="1"/>
  <c r="E185" i="1"/>
  <c r="G185" i="1" s="1"/>
  <c r="I185" i="1" s="1"/>
  <c r="F184" i="1"/>
  <c r="H184" i="1" s="1"/>
  <c r="E184" i="1"/>
  <c r="G184" i="1" s="1"/>
  <c r="I184" i="1" s="1"/>
  <c r="F183" i="1"/>
  <c r="H183" i="1" s="1"/>
  <c r="E183" i="1"/>
  <c r="G183" i="1" s="1"/>
  <c r="F182" i="1"/>
  <c r="H182" i="1" s="1"/>
  <c r="E182" i="1"/>
  <c r="G182" i="1" s="1"/>
  <c r="F181" i="1"/>
  <c r="H181" i="1" s="1"/>
  <c r="E181" i="1"/>
  <c r="G181" i="1" s="1"/>
  <c r="F180" i="1"/>
  <c r="H180" i="1" s="1"/>
  <c r="E180" i="1"/>
  <c r="G180" i="1" s="1"/>
  <c r="F179" i="1"/>
  <c r="H179" i="1" s="1"/>
  <c r="E179" i="1"/>
  <c r="G179" i="1" s="1"/>
  <c r="I179" i="1" s="1"/>
  <c r="F178" i="1"/>
  <c r="H178" i="1" s="1"/>
  <c r="E178" i="1"/>
  <c r="G178" i="1" s="1"/>
  <c r="F177" i="1"/>
  <c r="H177" i="1" s="1"/>
  <c r="E177" i="1"/>
  <c r="G177" i="1" s="1"/>
  <c r="I177" i="1" s="1"/>
  <c r="F176" i="1"/>
  <c r="H176" i="1" s="1"/>
  <c r="E176" i="1"/>
  <c r="G176" i="1" s="1"/>
  <c r="F175" i="1"/>
  <c r="H175" i="1" s="1"/>
  <c r="E175" i="1"/>
  <c r="G175" i="1" s="1"/>
  <c r="I175" i="1" s="1"/>
  <c r="F174" i="1"/>
  <c r="H174" i="1" s="1"/>
  <c r="E174" i="1"/>
  <c r="G174" i="1" s="1"/>
  <c r="I174" i="1" s="1"/>
  <c r="F173" i="1"/>
  <c r="H173" i="1" s="1"/>
  <c r="E173" i="1"/>
  <c r="G173" i="1" s="1"/>
  <c r="F172" i="1"/>
  <c r="H172" i="1" s="1"/>
  <c r="E172" i="1"/>
  <c r="G172" i="1" s="1"/>
  <c r="F171" i="1"/>
  <c r="H171" i="1" s="1"/>
  <c r="E171" i="1"/>
  <c r="G171" i="1" s="1"/>
  <c r="F170" i="1"/>
  <c r="H170" i="1" s="1"/>
  <c r="E170" i="1"/>
  <c r="G170" i="1" s="1"/>
  <c r="F169" i="1"/>
  <c r="H169" i="1" s="1"/>
  <c r="E169" i="1"/>
  <c r="G169" i="1" s="1"/>
  <c r="I169" i="1" s="1"/>
  <c r="F168" i="1"/>
  <c r="H168" i="1" s="1"/>
  <c r="E168" i="1"/>
  <c r="G168" i="1" s="1"/>
  <c r="F167" i="1"/>
  <c r="H167" i="1" s="1"/>
  <c r="E167" i="1"/>
  <c r="G167" i="1" s="1"/>
  <c r="I167" i="1" s="1"/>
  <c r="F166" i="1"/>
  <c r="H166" i="1" s="1"/>
  <c r="E166" i="1"/>
  <c r="G166" i="1" s="1"/>
  <c r="F165" i="1"/>
  <c r="H165" i="1" s="1"/>
  <c r="E165" i="1"/>
  <c r="G165" i="1" s="1"/>
  <c r="I165" i="1" s="1"/>
  <c r="F164" i="1"/>
  <c r="H164" i="1" s="1"/>
  <c r="E164" i="1"/>
  <c r="G164" i="1" s="1"/>
  <c r="I164" i="1" s="1"/>
  <c r="F163" i="1"/>
  <c r="H163" i="1" s="1"/>
  <c r="E163" i="1"/>
  <c r="G163" i="1" s="1"/>
  <c r="F162" i="1"/>
  <c r="H162" i="1" s="1"/>
  <c r="E162" i="1"/>
  <c r="G162" i="1" s="1"/>
  <c r="F161" i="1"/>
  <c r="H161" i="1" s="1"/>
  <c r="E161" i="1"/>
  <c r="G161" i="1" s="1"/>
  <c r="F160" i="1"/>
  <c r="H160" i="1" s="1"/>
  <c r="E160" i="1"/>
  <c r="G160" i="1" s="1"/>
  <c r="I160" i="1" s="1"/>
  <c r="F159" i="1"/>
  <c r="H159" i="1" s="1"/>
  <c r="E159" i="1"/>
  <c r="G159" i="1" s="1"/>
  <c r="I159" i="1" s="1"/>
  <c r="F158" i="1"/>
  <c r="H158" i="1" s="1"/>
  <c r="E158" i="1"/>
  <c r="G158" i="1" s="1"/>
  <c r="F157" i="1"/>
  <c r="H157" i="1" s="1"/>
  <c r="E157" i="1"/>
  <c r="G157" i="1" s="1"/>
  <c r="F156" i="1"/>
  <c r="H156" i="1" s="1"/>
  <c r="E156" i="1"/>
  <c r="G156" i="1" s="1"/>
  <c r="I156" i="1" s="1"/>
  <c r="F155" i="1"/>
  <c r="H155" i="1" s="1"/>
  <c r="E155" i="1"/>
  <c r="G155" i="1" s="1"/>
  <c r="I155" i="1" s="1"/>
  <c r="F154" i="1"/>
  <c r="H154" i="1" s="1"/>
  <c r="E154" i="1"/>
  <c r="G154" i="1" s="1"/>
  <c r="I154" i="1" s="1"/>
  <c r="F153" i="1"/>
  <c r="H153" i="1" s="1"/>
  <c r="E153" i="1"/>
  <c r="G153" i="1" s="1"/>
  <c r="F152" i="1"/>
  <c r="H152" i="1" s="1"/>
  <c r="E152" i="1"/>
  <c r="G152" i="1" s="1"/>
  <c r="F151" i="1"/>
  <c r="H151" i="1" s="1"/>
  <c r="E151" i="1"/>
  <c r="G151" i="1" s="1"/>
  <c r="F150" i="1"/>
  <c r="H150" i="1" s="1"/>
  <c r="E150" i="1"/>
  <c r="G150" i="1" s="1"/>
  <c r="I150" i="1" s="1"/>
  <c r="F149" i="1"/>
  <c r="H149" i="1" s="1"/>
  <c r="E149" i="1"/>
  <c r="G149" i="1" s="1"/>
  <c r="F148" i="1"/>
  <c r="H148" i="1" s="1"/>
  <c r="E148" i="1"/>
  <c r="G148" i="1" s="1"/>
  <c r="I148" i="1" s="1"/>
  <c r="F147" i="1"/>
  <c r="H147" i="1" s="1"/>
  <c r="E147" i="1"/>
  <c r="G147" i="1" s="1"/>
  <c r="I147" i="1" s="1"/>
  <c r="F146" i="1"/>
  <c r="H146" i="1" s="1"/>
  <c r="E146" i="1"/>
  <c r="G146" i="1" s="1"/>
  <c r="I146" i="1" s="1"/>
  <c r="F145" i="1"/>
  <c r="H145" i="1" s="1"/>
  <c r="E145" i="1"/>
  <c r="G145" i="1" s="1"/>
  <c r="F144" i="1"/>
  <c r="H144" i="1" s="1"/>
  <c r="E144" i="1"/>
  <c r="G144" i="1" s="1"/>
  <c r="F143" i="1"/>
  <c r="H143" i="1" s="1"/>
  <c r="E143" i="1"/>
  <c r="G143" i="1" s="1"/>
  <c r="F142" i="1"/>
  <c r="H142" i="1" s="1"/>
  <c r="E142" i="1"/>
  <c r="G142" i="1" s="1"/>
  <c r="I142" i="1" s="1"/>
  <c r="F141" i="1"/>
  <c r="H141" i="1" s="1"/>
  <c r="E141" i="1"/>
  <c r="G141" i="1" s="1"/>
  <c r="F140" i="1"/>
  <c r="H140" i="1" s="1"/>
  <c r="E140" i="1"/>
  <c r="G140" i="1" s="1"/>
  <c r="F139" i="1"/>
  <c r="H139" i="1" s="1"/>
  <c r="E139" i="1"/>
  <c r="G139" i="1" s="1"/>
  <c r="I139" i="1" s="1"/>
  <c r="F138" i="1"/>
  <c r="H138" i="1" s="1"/>
  <c r="E138" i="1"/>
  <c r="G138" i="1" s="1"/>
  <c r="I138" i="1" s="1"/>
  <c r="F137" i="1"/>
  <c r="H137" i="1" s="1"/>
  <c r="E137" i="1"/>
  <c r="G137" i="1" s="1"/>
  <c r="I137" i="1" s="1"/>
  <c r="F136" i="1"/>
  <c r="H136" i="1" s="1"/>
  <c r="E136" i="1"/>
  <c r="G136" i="1" s="1"/>
  <c r="I136" i="1" s="1"/>
  <c r="F135" i="1"/>
  <c r="H135" i="1" s="1"/>
  <c r="E135" i="1"/>
  <c r="G135" i="1" s="1"/>
  <c r="I135" i="1" s="1"/>
  <c r="F134" i="1"/>
  <c r="H134" i="1" s="1"/>
  <c r="E134" i="1"/>
  <c r="G134" i="1" s="1"/>
  <c r="F133" i="1"/>
  <c r="H133" i="1" s="1"/>
  <c r="E133" i="1"/>
  <c r="G133" i="1" s="1"/>
  <c r="F132" i="1"/>
  <c r="H132" i="1" s="1"/>
  <c r="E132" i="1"/>
  <c r="G132" i="1" s="1"/>
  <c r="I132" i="1" s="1"/>
  <c r="F131" i="1"/>
  <c r="H131" i="1" s="1"/>
  <c r="E131" i="1"/>
  <c r="G131" i="1" s="1"/>
  <c r="F130" i="1"/>
  <c r="H130" i="1" s="1"/>
  <c r="E130" i="1"/>
  <c r="G130" i="1" s="1"/>
  <c r="F129" i="1"/>
  <c r="H129" i="1" s="1"/>
  <c r="E129" i="1"/>
  <c r="G129" i="1" s="1"/>
  <c r="I129" i="1" s="1"/>
  <c r="F128" i="1"/>
  <c r="H128" i="1" s="1"/>
  <c r="E128" i="1"/>
  <c r="G128" i="1" s="1"/>
  <c r="I128" i="1" s="1"/>
  <c r="F127" i="1"/>
  <c r="H127" i="1" s="1"/>
  <c r="E127" i="1"/>
  <c r="G127" i="1" s="1"/>
  <c r="I127" i="1" s="1"/>
  <c r="F126" i="1"/>
  <c r="H126" i="1" s="1"/>
  <c r="E126" i="1"/>
  <c r="G126" i="1" s="1"/>
  <c r="I126" i="1" s="1"/>
  <c r="F125" i="1"/>
  <c r="H125" i="1" s="1"/>
  <c r="E125" i="1"/>
  <c r="G125" i="1" s="1"/>
  <c r="I125" i="1" s="1"/>
  <c r="F124" i="1"/>
  <c r="H124" i="1" s="1"/>
  <c r="E124" i="1"/>
  <c r="G124" i="1" s="1"/>
  <c r="F123" i="1"/>
  <c r="H123" i="1" s="1"/>
  <c r="E123" i="1"/>
  <c r="G123" i="1" s="1"/>
  <c r="F122" i="1"/>
  <c r="H122" i="1" s="1"/>
  <c r="E122" i="1"/>
  <c r="G122" i="1" s="1"/>
  <c r="I122" i="1" s="1"/>
  <c r="F121" i="1"/>
  <c r="H121" i="1" s="1"/>
  <c r="E121" i="1"/>
  <c r="G121" i="1" s="1"/>
  <c r="F120" i="1"/>
  <c r="H120" i="1" s="1"/>
  <c r="E120" i="1"/>
  <c r="G120" i="1" s="1"/>
  <c r="F119" i="1"/>
  <c r="H119" i="1" s="1"/>
  <c r="E119" i="1"/>
  <c r="G119" i="1" s="1"/>
  <c r="F118" i="1"/>
  <c r="H118" i="1" s="1"/>
  <c r="E118" i="1"/>
  <c r="G118" i="1" s="1"/>
  <c r="F117" i="1"/>
  <c r="H117" i="1" s="1"/>
  <c r="E117" i="1"/>
  <c r="G117" i="1" s="1"/>
  <c r="F116" i="1"/>
  <c r="H116" i="1" s="1"/>
  <c r="E116" i="1"/>
  <c r="G116" i="1" s="1"/>
  <c r="F115" i="1"/>
  <c r="H115" i="1" s="1"/>
  <c r="E115" i="1"/>
  <c r="G115" i="1" s="1"/>
  <c r="F114" i="1"/>
  <c r="H114" i="1" s="1"/>
  <c r="E114" i="1"/>
  <c r="G114" i="1" s="1"/>
  <c r="F113" i="1"/>
  <c r="H113" i="1" s="1"/>
  <c r="E113" i="1"/>
  <c r="G113" i="1" s="1"/>
  <c r="F112" i="1"/>
  <c r="H112" i="1" s="1"/>
  <c r="E112" i="1"/>
  <c r="G112" i="1" s="1"/>
  <c r="I112" i="1" s="1"/>
  <c r="F111" i="1"/>
  <c r="H111" i="1" s="1"/>
  <c r="E111" i="1"/>
  <c r="G111" i="1" s="1"/>
  <c r="I111" i="1" s="1"/>
  <c r="F110" i="1"/>
  <c r="H110" i="1" s="1"/>
  <c r="E110" i="1"/>
  <c r="G110" i="1" s="1"/>
  <c r="F109" i="1"/>
  <c r="H109" i="1" s="1"/>
  <c r="E109" i="1"/>
  <c r="G109" i="1" s="1"/>
  <c r="I109" i="1" s="1"/>
  <c r="F108" i="1"/>
  <c r="H108" i="1" s="1"/>
  <c r="E108" i="1"/>
  <c r="G108" i="1" s="1"/>
  <c r="I108" i="1" s="1"/>
  <c r="F107" i="1"/>
  <c r="H107" i="1" s="1"/>
  <c r="E107" i="1"/>
  <c r="G107" i="1" s="1"/>
  <c r="I107" i="1" s="1"/>
  <c r="F106" i="1"/>
  <c r="H106" i="1" s="1"/>
  <c r="E106" i="1"/>
  <c r="G106" i="1" s="1"/>
  <c r="I106" i="1" s="1"/>
  <c r="F105" i="1"/>
  <c r="H105" i="1" s="1"/>
  <c r="E105" i="1"/>
  <c r="G105" i="1" s="1"/>
  <c r="I105" i="1" s="1"/>
  <c r="F104" i="1"/>
  <c r="H104" i="1" s="1"/>
  <c r="E104" i="1"/>
  <c r="G104" i="1" s="1"/>
  <c r="F103" i="1"/>
  <c r="H103" i="1" s="1"/>
  <c r="E103" i="1"/>
  <c r="G103" i="1" s="1"/>
  <c r="F102" i="1"/>
  <c r="H102" i="1" s="1"/>
  <c r="E102" i="1"/>
  <c r="G102" i="1" s="1"/>
  <c r="I102" i="1" s="1"/>
  <c r="F101" i="1"/>
  <c r="H101" i="1" s="1"/>
  <c r="E101" i="1"/>
  <c r="G101" i="1" s="1"/>
  <c r="I101" i="1" s="1"/>
  <c r="F100" i="1"/>
  <c r="H100" i="1" s="1"/>
  <c r="E100" i="1"/>
  <c r="G100" i="1" s="1"/>
  <c r="F99" i="1"/>
  <c r="H99" i="1" s="1"/>
  <c r="E99" i="1"/>
  <c r="G99" i="1" s="1"/>
  <c r="I99" i="1" s="1"/>
  <c r="F98" i="1"/>
  <c r="H98" i="1" s="1"/>
  <c r="E98" i="1"/>
  <c r="G98" i="1" s="1"/>
  <c r="I98" i="1" s="1"/>
  <c r="F97" i="1"/>
  <c r="H97" i="1" s="1"/>
  <c r="E97" i="1"/>
  <c r="G97" i="1" s="1"/>
  <c r="I97" i="1" s="1"/>
  <c r="F96" i="1"/>
  <c r="H96" i="1" s="1"/>
  <c r="E96" i="1"/>
  <c r="G96" i="1" s="1"/>
  <c r="I96" i="1" s="1"/>
  <c r="F95" i="1"/>
  <c r="H95" i="1" s="1"/>
  <c r="E95" i="1"/>
  <c r="G95" i="1" s="1"/>
  <c r="I95" i="1" s="1"/>
  <c r="F94" i="1"/>
  <c r="H94" i="1" s="1"/>
  <c r="E94" i="1"/>
  <c r="G94" i="1" s="1"/>
  <c r="F93" i="1"/>
  <c r="H93" i="1" s="1"/>
  <c r="E93" i="1"/>
  <c r="G93" i="1" s="1"/>
  <c r="F92" i="1"/>
  <c r="H92" i="1" s="1"/>
  <c r="E92" i="1"/>
  <c r="G92" i="1" s="1"/>
  <c r="I92" i="1" s="1"/>
  <c r="F91" i="1"/>
  <c r="H91" i="1" s="1"/>
  <c r="E91" i="1"/>
  <c r="G91" i="1" s="1"/>
  <c r="I91" i="1" s="1"/>
  <c r="F90" i="1"/>
  <c r="H90" i="1" s="1"/>
  <c r="E90" i="1"/>
  <c r="G90" i="1" s="1"/>
  <c r="F89" i="1"/>
  <c r="H89" i="1" s="1"/>
  <c r="E89" i="1"/>
  <c r="G89" i="1" s="1"/>
  <c r="I89" i="1" s="1"/>
  <c r="F88" i="1"/>
  <c r="H88" i="1" s="1"/>
  <c r="E88" i="1"/>
  <c r="G88" i="1" s="1"/>
  <c r="I88" i="1" s="1"/>
  <c r="F87" i="1"/>
  <c r="H87" i="1" s="1"/>
  <c r="E87" i="1"/>
  <c r="G87" i="1" s="1"/>
  <c r="I87" i="1" s="1"/>
  <c r="F86" i="1"/>
  <c r="H86" i="1" s="1"/>
  <c r="E86" i="1"/>
  <c r="G86" i="1" s="1"/>
  <c r="I86" i="1" s="1"/>
  <c r="F85" i="1"/>
  <c r="H85" i="1" s="1"/>
  <c r="E85" i="1"/>
  <c r="G85" i="1" s="1"/>
  <c r="I85" i="1" s="1"/>
  <c r="F84" i="1"/>
  <c r="H84" i="1" s="1"/>
  <c r="E84" i="1"/>
  <c r="G84" i="1" s="1"/>
  <c r="F83" i="1"/>
  <c r="H83" i="1" s="1"/>
  <c r="E83" i="1"/>
  <c r="G83" i="1" s="1"/>
  <c r="F82" i="1"/>
  <c r="H82" i="1" s="1"/>
  <c r="E82" i="1"/>
  <c r="G82" i="1" s="1"/>
  <c r="I82" i="1" s="1"/>
  <c r="F81" i="1"/>
  <c r="H81" i="1" s="1"/>
  <c r="E81" i="1"/>
  <c r="G81" i="1" s="1"/>
  <c r="I81" i="1" s="1"/>
  <c r="F80" i="1"/>
  <c r="H80" i="1" s="1"/>
  <c r="E80" i="1"/>
  <c r="G80" i="1" s="1"/>
  <c r="F79" i="1"/>
  <c r="H79" i="1" s="1"/>
  <c r="E79" i="1"/>
  <c r="G79" i="1" s="1"/>
  <c r="I79" i="1" s="1"/>
  <c r="F78" i="1"/>
  <c r="H78" i="1" s="1"/>
  <c r="E78" i="1"/>
  <c r="G78" i="1" s="1"/>
  <c r="I78" i="1" s="1"/>
  <c r="F77" i="1"/>
  <c r="H77" i="1" s="1"/>
  <c r="E77" i="1"/>
  <c r="G77" i="1" s="1"/>
  <c r="I77" i="1" s="1"/>
  <c r="F76" i="1"/>
  <c r="H76" i="1" s="1"/>
  <c r="E76" i="1"/>
  <c r="G76" i="1" s="1"/>
  <c r="I76" i="1" s="1"/>
  <c r="F75" i="1"/>
  <c r="H75" i="1" s="1"/>
  <c r="E75" i="1"/>
  <c r="G75" i="1" s="1"/>
  <c r="I75" i="1" s="1"/>
  <c r="F74" i="1"/>
  <c r="H74" i="1" s="1"/>
  <c r="E74" i="1"/>
  <c r="G74" i="1" s="1"/>
  <c r="F73" i="1"/>
  <c r="H73" i="1" s="1"/>
  <c r="E73" i="1"/>
  <c r="G73" i="1" s="1"/>
  <c r="F72" i="1"/>
  <c r="H72" i="1" s="1"/>
  <c r="E72" i="1"/>
  <c r="G72" i="1" s="1"/>
  <c r="I72" i="1" s="1"/>
  <c r="F71" i="1"/>
  <c r="H71" i="1" s="1"/>
  <c r="E71" i="1"/>
  <c r="G71" i="1" s="1"/>
  <c r="I71" i="1" s="1"/>
  <c r="F70" i="1"/>
  <c r="H70" i="1" s="1"/>
  <c r="E70" i="1"/>
  <c r="G70" i="1" s="1"/>
  <c r="F69" i="1"/>
  <c r="H69" i="1" s="1"/>
  <c r="E69" i="1"/>
  <c r="G69" i="1" s="1"/>
  <c r="I69" i="1" s="1"/>
  <c r="F68" i="1"/>
  <c r="H68" i="1" s="1"/>
  <c r="E68" i="1"/>
  <c r="G68" i="1" s="1"/>
  <c r="I68" i="1" s="1"/>
  <c r="F67" i="1"/>
  <c r="H67" i="1" s="1"/>
  <c r="E67" i="1"/>
  <c r="G67" i="1" s="1"/>
  <c r="I67" i="1" s="1"/>
  <c r="F66" i="1"/>
  <c r="H66" i="1" s="1"/>
  <c r="E66" i="1"/>
  <c r="G66" i="1" s="1"/>
  <c r="I66" i="1" s="1"/>
  <c r="F65" i="1"/>
  <c r="H65" i="1" s="1"/>
  <c r="E65" i="1"/>
  <c r="G65" i="1" s="1"/>
  <c r="I65" i="1" s="1"/>
  <c r="F64" i="1"/>
  <c r="H64" i="1" s="1"/>
  <c r="E64" i="1"/>
  <c r="G64" i="1" s="1"/>
  <c r="F63" i="1"/>
  <c r="H63" i="1" s="1"/>
  <c r="E63" i="1"/>
  <c r="G63" i="1" s="1"/>
  <c r="F62" i="1"/>
  <c r="H62" i="1" s="1"/>
  <c r="E62" i="1"/>
  <c r="G62" i="1" s="1"/>
  <c r="I62" i="1" s="1"/>
  <c r="F61" i="1"/>
  <c r="H61" i="1" s="1"/>
  <c r="E61" i="1"/>
  <c r="G61" i="1" s="1"/>
  <c r="I61" i="1" s="1"/>
  <c r="F60" i="1"/>
  <c r="H60" i="1" s="1"/>
  <c r="E60" i="1"/>
  <c r="G60" i="1" s="1"/>
  <c r="F59" i="1"/>
  <c r="H59" i="1" s="1"/>
  <c r="E59" i="1"/>
  <c r="G59" i="1" s="1"/>
  <c r="I59" i="1" s="1"/>
  <c r="F58" i="1"/>
  <c r="H58" i="1" s="1"/>
  <c r="E58" i="1"/>
  <c r="G58" i="1" s="1"/>
  <c r="I58" i="1" s="1"/>
  <c r="F57" i="1"/>
  <c r="H57" i="1" s="1"/>
  <c r="E57" i="1"/>
  <c r="G57" i="1" s="1"/>
  <c r="I57" i="1" s="1"/>
  <c r="F56" i="1"/>
  <c r="H56" i="1" s="1"/>
  <c r="E56" i="1"/>
  <c r="G56" i="1" s="1"/>
  <c r="I56" i="1" s="1"/>
  <c r="F55" i="1"/>
  <c r="H55" i="1" s="1"/>
  <c r="E55" i="1"/>
  <c r="G55" i="1" s="1"/>
  <c r="I55" i="1" s="1"/>
  <c r="F54" i="1"/>
  <c r="H54" i="1" s="1"/>
  <c r="E54" i="1"/>
  <c r="G54" i="1" s="1"/>
  <c r="F53" i="1"/>
  <c r="H53" i="1" s="1"/>
  <c r="E53" i="1"/>
  <c r="G53" i="1" s="1"/>
  <c r="F52" i="1"/>
  <c r="H52" i="1" s="1"/>
  <c r="E52" i="1"/>
  <c r="G52" i="1" s="1"/>
  <c r="I52" i="1" s="1"/>
  <c r="F51" i="1"/>
  <c r="H51" i="1" s="1"/>
  <c r="E51" i="1"/>
  <c r="G51" i="1" s="1"/>
  <c r="I51" i="1" s="1"/>
  <c r="F50" i="1"/>
  <c r="H50" i="1" s="1"/>
  <c r="E50" i="1"/>
  <c r="G50" i="1" s="1"/>
  <c r="F49" i="1"/>
  <c r="H49" i="1" s="1"/>
  <c r="E49" i="1"/>
  <c r="G49" i="1" s="1"/>
  <c r="I49" i="1" s="1"/>
  <c r="F48" i="1"/>
  <c r="H48" i="1" s="1"/>
  <c r="E48" i="1"/>
  <c r="G48" i="1" s="1"/>
  <c r="I48" i="1" s="1"/>
  <c r="F47" i="1"/>
  <c r="H47" i="1" s="1"/>
  <c r="E47" i="1"/>
  <c r="G47" i="1" s="1"/>
  <c r="I47" i="1" s="1"/>
  <c r="F46" i="1"/>
  <c r="H46" i="1" s="1"/>
  <c r="E46" i="1"/>
  <c r="G46" i="1" s="1"/>
  <c r="I46" i="1" s="1"/>
  <c r="F45" i="1"/>
  <c r="H45" i="1" s="1"/>
  <c r="E45" i="1"/>
  <c r="G45" i="1" s="1"/>
  <c r="I45" i="1" s="1"/>
  <c r="F44" i="1"/>
  <c r="H44" i="1" s="1"/>
  <c r="E44" i="1"/>
  <c r="G44" i="1" s="1"/>
  <c r="F43" i="1"/>
  <c r="H43" i="1" s="1"/>
  <c r="E43" i="1"/>
  <c r="G43" i="1" s="1"/>
  <c r="F42" i="1"/>
  <c r="H42" i="1" s="1"/>
  <c r="E42" i="1"/>
  <c r="G42" i="1" s="1"/>
  <c r="I42" i="1" s="1"/>
  <c r="F41" i="1"/>
  <c r="H41" i="1" s="1"/>
  <c r="E41" i="1"/>
  <c r="G41" i="1" s="1"/>
  <c r="I41" i="1" s="1"/>
  <c r="F40" i="1"/>
  <c r="H40" i="1" s="1"/>
  <c r="E40" i="1"/>
  <c r="G40" i="1" s="1"/>
  <c r="F39" i="1"/>
  <c r="H39" i="1" s="1"/>
  <c r="E39" i="1"/>
  <c r="G39" i="1" s="1"/>
  <c r="I39" i="1" s="1"/>
  <c r="F38" i="1"/>
  <c r="H38" i="1" s="1"/>
  <c r="E38" i="1"/>
  <c r="G38" i="1" s="1"/>
  <c r="I38" i="1" s="1"/>
  <c r="F37" i="1"/>
  <c r="H37" i="1" s="1"/>
  <c r="E37" i="1"/>
  <c r="G37" i="1" s="1"/>
  <c r="I37" i="1" s="1"/>
  <c r="F36" i="1"/>
  <c r="H36" i="1" s="1"/>
  <c r="E36" i="1"/>
  <c r="G36" i="1" s="1"/>
  <c r="I36" i="1" s="1"/>
  <c r="F35" i="1"/>
  <c r="H35" i="1" s="1"/>
  <c r="E35" i="1"/>
  <c r="G35" i="1" s="1"/>
  <c r="I35" i="1" s="1"/>
  <c r="F34" i="1"/>
  <c r="H34" i="1" s="1"/>
  <c r="E34" i="1"/>
  <c r="G34" i="1" s="1"/>
  <c r="F33" i="1"/>
  <c r="H33" i="1" s="1"/>
  <c r="E33" i="1"/>
  <c r="G33" i="1" s="1"/>
  <c r="F32" i="1"/>
  <c r="H32" i="1" s="1"/>
  <c r="E32" i="1"/>
  <c r="G32" i="1" s="1"/>
  <c r="I32" i="1" s="1"/>
  <c r="F31" i="1"/>
  <c r="H31" i="1" s="1"/>
  <c r="E31" i="1"/>
  <c r="G31" i="1" s="1"/>
  <c r="I31" i="1" s="1"/>
  <c r="F30" i="1"/>
  <c r="H30" i="1" s="1"/>
  <c r="E30" i="1"/>
  <c r="G30" i="1" s="1"/>
  <c r="F29" i="1"/>
  <c r="H29" i="1" s="1"/>
  <c r="E29" i="1"/>
  <c r="G29" i="1" s="1"/>
  <c r="I29" i="1" s="1"/>
  <c r="F28" i="1"/>
  <c r="H28" i="1" s="1"/>
  <c r="E28" i="1"/>
  <c r="G28" i="1" s="1"/>
  <c r="I28" i="1" s="1"/>
  <c r="F27" i="1"/>
  <c r="H27" i="1" s="1"/>
  <c r="E27" i="1"/>
  <c r="G27" i="1" s="1"/>
  <c r="I27" i="1" s="1"/>
  <c r="F26" i="1"/>
  <c r="H26" i="1" s="1"/>
  <c r="E26" i="1"/>
  <c r="G26" i="1" s="1"/>
  <c r="I26" i="1" s="1"/>
  <c r="F25" i="1"/>
  <c r="H25" i="1" s="1"/>
  <c r="E25" i="1"/>
  <c r="G25" i="1" s="1"/>
  <c r="I25" i="1" s="1"/>
  <c r="F24" i="1"/>
  <c r="H24" i="1" s="1"/>
  <c r="E24" i="1"/>
  <c r="G24" i="1" s="1"/>
  <c r="F23" i="1"/>
  <c r="H23" i="1" s="1"/>
  <c r="E23" i="1"/>
  <c r="G23" i="1" s="1"/>
  <c r="F22" i="1"/>
  <c r="H22" i="1" s="1"/>
  <c r="E22" i="1"/>
  <c r="G22" i="1" s="1"/>
  <c r="I22" i="1" s="1"/>
  <c r="F21" i="1"/>
  <c r="H21" i="1" s="1"/>
  <c r="E21" i="1"/>
  <c r="G21" i="1" s="1"/>
  <c r="I21" i="1" s="1"/>
  <c r="F20" i="1"/>
  <c r="H20" i="1" s="1"/>
  <c r="E20" i="1"/>
  <c r="G20" i="1" s="1"/>
  <c r="F19" i="1"/>
  <c r="H19" i="1" s="1"/>
  <c r="E19" i="1"/>
  <c r="G19" i="1" s="1"/>
  <c r="I19" i="1" s="1"/>
  <c r="F18" i="1"/>
  <c r="H18" i="1" s="1"/>
  <c r="E18" i="1"/>
  <c r="G18" i="1" s="1"/>
  <c r="I18" i="1" s="1"/>
  <c r="F17" i="1"/>
  <c r="H17" i="1" s="1"/>
  <c r="E17" i="1"/>
  <c r="G17" i="1" s="1"/>
  <c r="I17" i="1" s="1"/>
  <c r="F16" i="1"/>
  <c r="H16" i="1" s="1"/>
  <c r="E16" i="1"/>
  <c r="G16" i="1" s="1"/>
  <c r="I16" i="1" s="1"/>
  <c r="F15" i="1"/>
  <c r="H15" i="1" s="1"/>
  <c r="E15" i="1"/>
  <c r="G15" i="1" s="1"/>
  <c r="I15" i="1" s="1"/>
  <c r="F14" i="1"/>
  <c r="H14" i="1" s="1"/>
  <c r="E14" i="1"/>
  <c r="G14" i="1" s="1"/>
  <c r="F13" i="1"/>
  <c r="H13" i="1" s="1"/>
  <c r="E13" i="1"/>
  <c r="G13" i="1" s="1"/>
  <c r="F12" i="1"/>
  <c r="H12" i="1" s="1"/>
  <c r="E12" i="1"/>
  <c r="G12" i="1" s="1"/>
  <c r="I12" i="1" s="1"/>
  <c r="F11" i="1"/>
  <c r="H11" i="1" s="1"/>
  <c r="E11" i="1"/>
  <c r="G11" i="1" s="1"/>
  <c r="I11" i="1" s="1"/>
  <c r="F10" i="1"/>
  <c r="H10" i="1" s="1"/>
  <c r="E10" i="1"/>
  <c r="G10" i="1" s="1"/>
  <c r="F9" i="1"/>
  <c r="H9" i="1" s="1"/>
  <c r="E9" i="1"/>
  <c r="G9" i="1" s="1"/>
  <c r="I9" i="1" s="1"/>
  <c r="F8" i="1"/>
  <c r="H8" i="1" s="1"/>
  <c r="E8" i="1"/>
  <c r="G8" i="1" s="1"/>
  <c r="I8" i="1" s="1"/>
  <c r="F7" i="1"/>
  <c r="H7" i="1" s="1"/>
  <c r="E7" i="1"/>
  <c r="G7" i="1" s="1"/>
  <c r="I7" i="1" s="1"/>
  <c r="F6" i="1"/>
  <c r="H6" i="1" s="1"/>
  <c r="E6" i="1"/>
  <c r="G6" i="1" s="1"/>
  <c r="I6" i="1" s="1"/>
  <c r="F5" i="1"/>
  <c r="H5" i="1" s="1"/>
  <c r="E5" i="1"/>
  <c r="G5" i="1" s="1"/>
  <c r="I5" i="1" s="1"/>
  <c r="F4" i="1"/>
  <c r="H4" i="1" s="1"/>
  <c r="E4" i="1"/>
  <c r="G4" i="1" s="1"/>
  <c r="F3" i="1"/>
  <c r="H3" i="1" s="1"/>
  <c r="E3" i="1"/>
  <c r="F2" i="1"/>
  <c r="H2" i="1" s="1"/>
  <c r="G2" i="1"/>
  <c r="I2" i="1" s="1"/>
  <c r="I115" i="1" l="1"/>
  <c r="I121" i="1"/>
  <c r="I151" i="1"/>
  <c r="I141" i="1"/>
  <c r="I117" i="1"/>
  <c r="I118" i="1"/>
  <c r="I116" i="1"/>
  <c r="I119" i="1"/>
  <c r="I131" i="1"/>
  <c r="I149" i="1"/>
  <c r="I171" i="1"/>
  <c r="I181" i="1"/>
  <c r="I191" i="1"/>
  <c r="I201" i="1"/>
  <c r="I211" i="1"/>
  <c r="I221" i="1"/>
  <c r="I231" i="1"/>
  <c r="I251" i="1"/>
  <c r="I261" i="1"/>
  <c r="I271" i="1"/>
  <c r="I281" i="1"/>
  <c r="I291" i="1"/>
  <c r="I301" i="1"/>
  <c r="I311" i="1"/>
  <c r="I321" i="1"/>
  <c r="I331" i="1"/>
  <c r="I341" i="1"/>
  <c r="I351" i="1"/>
  <c r="I361" i="1"/>
  <c r="I371" i="1"/>
  <c r="I381" i="1"/>
  <c r="I391" i="1"/>
  <c r="I401" i="1"/>
  <c r="I421" i="1"/>
  <c r="I431" i="1"/>
  <c r="I441" i="1"/>
  <c r="I451" i="1"/>
  <c r="I461" i="1"/>
  <c r="I471" i="1"/>
  <c r="I481" i="1"/>
  <c r="I491" i="1"/>
  <c r="I501" i="1"/>
  <c r="I145" i="1"/>
  <c r="I157" i="1"/>
  <c r="I4" i="1"/>
  <c r="I14" i="1"/>
  <c r="I24" i="1"/>
  <c r="I34" i="1"/>
  <c r="I44" i="1"/>
  <c r="I54" i="1"/>
  <c r="I64" i="1"/>
  <c r="I74" i="1"/>
  <c r="I84" i="1"/>
  <c r="I94" i="1"/>
  <c r="I104" i="1"/>
  <c r="I114" i="1"/>
  <c r="I124" i="1"/>
  <c r="I134" i="1"/>
  <c r="I144" i="1"/>
  <c r="I153" i="1"/>
  <c r="I162" i="1"/>
  <c r="I172" i="1"/>
  <c r="I182" i="1"/>
  <c r="I192" i="1"/>
  <c r="I202" i="1"/>
  <c r="I212" i="1"/>
  <c r="I222" i="1"/>
  <c r="I232" i="1"/>
  <c r="I242" i="1"/>
  <c r="I252" i="1"/>
  <c r="I262" i="1"/>
  <c r="I272" i="1"/>
  <c r="I282" i="1"/>
  <c r="I292" i="1"/>
  <c r="I302" i="1"/>
  <c r="I312" i="1"/>
  <c r="I322" i="1"/>
  <c r="I332" i="1"/>
  <c r="I342" i="1"/>
  <c r="I352" i="1"/>
  <c r="I362" i="1"/>
  <c r="I372" i="1"/>
  <c r="I382" i="1"/>
  <c r="I392" i="1"/>
  <c r="I402" i="1"/>
  <c r="I412" i="1"/>
  <c r="I422" i="1"/>
  <c r="I432" i="1"/>
  <c r="I442" i="1"/>
  <c r="I452" i="1"/>
  <c r="I462" i="1"/>
  <c r="I472" i="1"/>
  <c r="I482" i="1"/>
  <c r="I492" i="1"/>
  <c r="I10" i="1"/>
  <c r="I20" i="1"/>
  <c r="I30" i="1"/>
  <c r="I40" i="1"/>
  <c r="I50" i="1"/>
  <c r="I60" i="1"/>
  <c r="I70" i="1"/>
  <c r="I80" i="1"/>
  <c r="I90" i="1"/>
  <c r="I100" i="1"/>
  <c r="I110" i="1"/>
  <c r="I120" i="1"/>
  <c r="I130" i="1"/>
  <c r="I140" i="1"/>
  <c r="I158" i="1"/>
  <c r="I3" i="1"/>
  <c r="I13" i="1"/>
  <c r="I23" i="1"/>
  <c r="I33" i="1"/>
  <c r="I43" i="1"/>
  <c r="I53" i="1"/>
  <c r="I63" i="1"/>
  <c r="I73" i="1"/>
  <c r="I83" i="1"/>
  <c r="I93" i="1"/>
  <c r="I103" i="1"/>
  <c r="I113" i="1"/>
  <c r="I123" i="1"/>
  <c r="I133" i="1"/>
  <c r="I143" i="1"/>
  <c r="I152" i="1"/>
  <c r="I161" i="1"/>
  <c r="I163" i="1"/>
  <c r="I173" i="1"/>
  <c r="I183" i="1"/>
  <c r="I193" i="1"/>
  <c r="I203" i="1"/>
  <c r="I213" i="1"/>
  <c r="I223" i="1"/>
  <c r="I233" i="1"/>
  <c r="I243" i="1"/>
  <c r="I253" i="1"/>
  <c r="I263" i="1"/>
  <c r="I273" i="1"/>
  <c r="I283" i="1"/>
  <c r="I293" i="1"/>
  <c r="I303" i="1"/>
  <c r="I313" i="1"/>
  <c r="I323" i="1"/>
  <c r="I333" i="1"/>
  <c r="I343" i="1"/>
  <c r="I353" i="1"/>
  <c r="I363" i="1"/>
  <c r="I373" i="1"/>
  <c r="I383" i="1"/>
  <c r="I393" i="1"/>
  <c r="I403" i="1"/>
  <c r="I413" i="1"/>
  <c r="I423" i="1"/>
  <c r="I433" i="1"/>
  <c r="I443" i="1"/>
  <c r="I453" i="1"/>
  <c r="I463" i="1"/>
  <c r="I473" i="1"/>
  <c r="I483" i="1"/>
  <c r="I493" i="1"/>
  <c r="I166" i="1"/>
  <c r="I176" i="1"/>
  <c r="I186" i="1"/>
  <c r="I196" i="1"/>
  <c r="I206" i="1"/>
  <c r="I216" i="1"/>
  <c r="I226" i="1"/>
  <c r="I236" i="1"/>
  <c r="I246" i="1"/>
  <c r="I256" i="1"/>
  <c r="I266" i="1"/>
  <c r="I276" i="1"/>
  <c r="I286" i="1"/>
  <c r="I296" i="1"/>
  <c r="I306" i="1"/>
  <c r="I316" i="1"/>
  <c r="I326" i="1"/>
  <c r="I336" i="1"/>
  <c r="I346" i="1"/>
  <c r="I356" i="1"/>
  <c r="I366" i="1"/>
  <c r="I376" i="1"/>
  <c r="I386" i="1"/>
  <c r="I396" i="1"/>
  <c r="I406" i="1"/>
  <c r="I416" i="1"/>
  <c r="I426" i="1"/>
  <c r="I436" i="1"/>
  <c r="I446" i="1"/>
  <c r="I456" i="1"/>
  <c r="I466" i="1"/>
  <c r="I476" i="1"/>
  <c r="I486" i="1"/>
  <c r="I496" i="1"/>
  <c r="I241" i="1"/>
  <c r="I168" i="1"/>
  <c r="I178" i="1"/>
  <c r="I188" i="1"/>
  <c r="I198" i="1"/>
  <c r="I208" i="1"/>
  <c r="I218" i="1"/>
  <c r="I228" i="1"/>
  <c r="I238" i="1"/>
  <c r="I248" i="1"/>
  <c r="I258" i="1"/>
  <c r="I268" i="1"/>
  <c r="I278" i="1"/>
  <c r="I288" i="1"/>
  <c r="I298" i="1"/>
  <c r="I308" i="1"/>
  <c r="I318" i="1"/>
  <c r="I328" i="1"/>
  <c r="I338" i="1"/>
  <c r="I348" i="1"/>
  <c r="I358" i="1"/>
  <c r="I368" i="1"/>
  <c r="I378" i="1"/>
  <c r="I388" i="1"/>
  <c r="I398" i="1"/>
  <c r="I408" i="1"/>
  <c r="I418" i="1"/>
  <c r="I428" i="1"/>
  <c r="I438" i="1"/>
  <c r="I448" i="1"/>
  <c r="I458" i="1"/>
  <c r="I468" i="1"/>
  <c r="I478" i="1"/>
  <c r="I488" i="1"/>
  <c r="I498" i="1"/>
  <c r="I170" i="1"/>
  <c r="I180" i="1"/>
  <c r="I190" i="1"/>
  <c r="I200" i="1"/>
  <c r="I210" i="1"/>
  <c r="I220" i="1"/>
  <c r="I230" i="1"/>
  <c r="I240" i="1"/>
  <c r="I250" i="1"/>
  <c r="I260" i="1"/>
  <c r="I270" i="1"/>
  <c r="I280" i="1"/>
  <c r="I290" i="1"/>
  <c r="I300" i="1"/>
  <c r="I310" i="1"/>
  <c r="I320" i="1"/>
  <c r="I330" i="1"/>
  <c r="I340" i="1"/>
  <c r="I350" i="1"/>
  <c r="I360" i="1"/>
  <c r="I370" i="1"/>
  <c r="I380" i="1"/>
  <c r="I390" i="1"/>
  <c r="I400" i="1"/>
  <c r="I410" i="1"/>
  <c r="I420" i="1"/>
  <c r="I430" i="1"/>
  <c r="I440" i="1"/>
  <c r="I450" i="1"/>
  <c r="I460" i="1"/>
  <c r="I470" i="1"/>
  <c r="I480" i="1"/>
  <c r="I490" i="1"/>
  <c r="I500" i="1"/>
  <c r="I411" i="1"/>
</calcChain>
</file>

<file path=xl/sharedStrings.xml><?xml version="1.0" encoding="utf-8"?>
<sst xmlns="http://schemas.openxmlformats.org/spreadsheetml/2006/main" count="9835" uniqueCount="536">
  <si>
    <t>Date</t>
  </si>
  <si>
    <t>Ticker</t>
  </si>
  <si>
    <t>High</t>
  </si>
  <si>
    <t>Low</t>
  </si>
  <si>
    <t>Prior High</t>
  </si>
  <si>
    <t>Prior Low</t>
  </si>
  <si>
    <t>High Structure</t>
  </si>
  <si>
    <t>Low Structure</t>
  </si>
  <si>
    <t>Trend Signal</t>
  </si>
  <si>
    <t>INDEX</t>
  </si>
  <si>
    <t>BUY TRADE</t>
  </si>
  <si>
    <t>SELL TRADE</t>
  </si>
  <si>
    <t>PREV. CLOSE</t>
  </si>
  <si>
    <t>UST30Y (BEARISH)</t>
  </si>
  <si>
    <t>30-Year U.S. Treasury Yield</t>
  </si>
  <si>
    <t>UST10Y (BEARISH)</t>
  </si>
  <si>
    <t>10-Year U.S. Treasury Yield</t>
  </si>
  <si>
    <t>UST2Y (BEARISH)</t>
  </si>
  <si>
    <t>2-Year U.S. Treasury Yield</t>
  </si>
  <si>
    <t>HYG (NEUTRAL)</t>
  </si>
  <si>
    <t>High Yield</t>
  </si>
  <si>
    <t>LQD (BULLISH)</t>
  </si>
  <si>
    <t>Investment Grade Corporate Bond ETF</t>
  </si>
  <si>
    <t>SPX (BULLISH)</t>
  </si>
  <si>
    <t>S&amp;P 500</t>
  </si>
  <si>
    <t>COMPQ (BEARISH)</t>
  </si>
  <si>
    <t>NASDAQ Composite</t>
  </si>
  <si>
    <t>RUT (BEARISH)</t>
  </si>
  <si>
    <t>Russell 2000</t>
  </si>
  <si>
    <t>XLK (BEARISH)</t>
  </si>
  <si>
    <t>Technology Select Sector SPDR Fund</t>
  </si>
  <si>
    <t>XLV (BULLISH)</t>
  </si>
  <si>
    <t>Health Care Select Sector SPDR Fund</t>
  </si>
  <si>
    <t>SSEC (BEARISH)</t>
  </si>
  <si>
    <t>Shanghai Composite</t>
  </si>
  <si>
    <t>NIKK (NEUTRAL)</t>
  </si>
  <si>
    <t>Nikkei 225 Index</t>
  </si>
  <si>
    <t>DAX (BEARISH)</t>
  </si>
  <si>
    <t>German DAX Composite</t>
  </si>
  <si>
    <t>VIX (BULLISH)</t>
  </si>
  <si>
    <t>Volatility Index</t>
  </si>
  <si>
    <t>USD (BULLISH)</t>
  </si>
  <si>
    <t>U.S. Dollar Index</t>
  </si>
  <si>
    <t>EUR/USD (BEARISH)</t>
  </si>
  <si>
    <t>Euro to U.S. Dollar</t>
  </si>
  <si>
    <t>USD/YEN (BULLISH)</t>
  </si>
  <si>
    <t>U.S. Dollar to Japanese Yen</t>
  </si>
  <si>
    <t>GBP/USD (BEARISH)</t>
  </si>
  <si>
    <t>British Pound to U.S. Dollar</t>
  </si>
  <si>
    <t>CAD/USD (BEARISH)</t>
  </si>
  <si>
    <t>Canadian Dollar to U.S. Dollar</t>
  </si>
  <si>
    <t>WTIC (BEARISH)</t>
  </si>
  <si>
    <t>Light Crude Oil Continuous Contract</t>
  </si>
  <si>
    <t>BRENT (BEARISH)</t>
  </si>
  <si>
    <t>Brent Crude Oil Continuous Contract</t>
  </si>
  <si>
    <t>NATGAS (BULLISH)</t>
  </si>
  <si>
    <t>Natural Gas Continuous Contract</t>
  </si>
  <si>
    <t>GOLD (BULLISH)</t>
  </si>
  <si>
    <t>Gold Spot Price</t>
  </si>
  <si>
    <t>COPPER (BULLISH)</t>
  </si>
  <si>
    <t>Copper Continuous Contract</t>
  </si>
  <si>
    <t>SILVER (BULLISH)</t>
  </si>
  <si>
    <t>Silver Spot Price</t>
  </si>
  <si>
    <t>MSFT (BEARISH)</t>
  </si>
  <si>
    <t>Microsoft Corp.</t>
  </si>
  <si>
    <t>AAPL (BULLISH)</t>
  </si>
  <si>
    <t>Apple Inc.</t>
  </si>
  <si>
    <t>AMZN (BEARISH)</t>
  </si>
  <si>
    <t>Amazon Inc.</t>
  </si>
  <si>
    <t>META (BEARISH)</t>
  </si>
  <si>
    <t>Meta Platforms Inc.</t>
  </si>
  <si>
    <t>GOOGL (BULLISH)</t>
  </si>
  <si>
    <t>Alphabet Inc.</t>
  </si>
  <si>
    <t>NFLX (BEARISH)</t>
  </si>
  <si>
    <t>Netflix Inc.</t>
  </si>
  <si>
    <t>TSLA (BEARISH)</t>
  </si>
  <si>
    <t>Tesla Inc.</t>
  </si>
  <si>
    <t>NVDA (NEUTRAL)</t>
  </si>
  <si>
    <t>NVIDIA Corporation</t>
  </si>
  <si>
    <t>ORCL (BEARISH)</t>
  </si>
  <si>
    <t>Oracle Corporation</t>
  </si>
  <si>
    <t>BITCOIN (BEARISH)</t>
  </si>
  <si>
    <t>Bitcoin Spot Price</t>
  </si>
  <si>
    <t>HYG (BULLISH)</t>
  </si>
  <si>
    <t>COMPQ (NEUTRAL)</t>
  </si>
  <si>
    <t>COMPQ (BULLISH)</t>
  </si>
  <si>
    <t>RUT (BULLISH)</t>
  </si>
  <si>
    <t>NIKK (BULLISH)</t>
  </si>
  <si>
    <t>NVDA (BEARISH)</t>
  </si>
  <si>
    <t>XLK (NEUTRAL)</t>
  </si>
  <si>
    <t>AMZN (NEUTRAL)</t>
  </si>
  <si>
    <t>TSLA (NEUTRAL)</t>
  </si>
  <si>
    <t>XLK (BULLISH)</t>
  </si>
  <si>
    <t>SSEC (NEUTRAL)</t>
  </si>
  <si>
    <t>VIX (BEARISH)</t>
  </si>
  <si>
    <t>TSLA (BULLISH)</t>
  </si>
  <si>
    <t>BSE (BULLISH)</t>
  </si>
  <si>
    <t>BSE SENSEX</t>
  </si>
  <si>
    <t>EUR/USD (NEUTRAL)</t>
  </si>
  <si>
    <t>AMZN (BULLISH)</t>
  </si>
  <si>
    <t>USD (NEUTRAL)</t>
  </si>
  <si>
    <t>NVDA (BULLISH)</t>
  </si>
  <si>
    <t>BITCOIN (NEUTRAL)</t>
  </si>
  <si>
    <t>EUR/USD (BULLISH)</t>
  </si>
  <si>
    <t>GBP/USD (NEUTRAL)</t>
  </si>
  <si>
    <t>CAD/USD (NEUTRAL)</t>
  </si>
  <si>
    <t>DAX (NEUTRAL)</t>
  </si>
  <si>
    <t>USD (BEARISH)</t>
  </si>
  <si>
    <t>UST30Y (BULLISH)</t>
  </si>
  <si>
    <t>GBP/USD (BULLISH)</t>
  </si>
  <si>
    <t>CAD/USD (BULLISH)</t>
  </si>
  <si>
    <t>XLY (BULLISH)</t>
  </si>
  <si>
    <t>Consumer Discretionary Select Sector SPDR Fund</t>
  </si>
  <si>
    <t>DAX (BULLISH)</t>
  </si>
  <si>
    <t>NATGAS (NEUTRAL)</t>
  </si>
  <si>
    <t>USD/YEN (NEUTRAL)</t>
  </si>
  <si>
    <t>NATGAS (BEARISH)</t>
  </si>
  <si>
    <t>SSEC (BULLISH)</t>
  </si>
  <si>
    <t>XLI (BULLISH)</t>
  </si>
  <si>
    <t>Industrial Select Sector SPDR Fund</t>
  </si>
  <si>
    <t>AAPL (NEUTRAL)</t>
  </si>
  <si>
    <t>AAPL (BEARISH)</t>
  </si>
  <si>
    <t>WTIC (NEUTRAL)</t>
  </si>
  <si>
    <t>BRENT (NEUTRAL)</t>
  </si>
  <si>
    <t>WTIC (BULLISH)</t>
  </si>
  <si>
    <t>BRENT (BULLISH)</t>
  </si>
  <si>
    <t>BITCOIN (BULLISH)</t>
  </si>
  <si>
    <t>UST10Y (BULLISH)</t>
  </si>
  <si>
    <t>LQD (NEUTRAL)</t>
  </si>
  <si>
    <t>bitcoin trend is north of 94000</t>
  </si>
  <si>
    <t>UST10Y (NEUTRAL)</t>
  </si>
  <si>
    <t>UST30Y (NEUTRAL)</t>
  </si>
  <si>
    <t>USD/YEN (BEARISH)</t>
  </si>
  <si>
    <t>PPLT (BULLISH)</t>
  </si>
  <si>
    <t>abrdn Physical Platinum Shares ETF</t>
  </si>
  <si>
    <t>META (NEUTRAL)</t>
  </si>
  <si>
    <t>META (BULLISH)</t>
  </si>
  <si>
    <t xml:space="preserve">Ticker </t>
  </si>
  <si>
    <t>Today Buy</t>
  </si>
  <si>
    <t xml:space="preserve"> Yday Buy</t>
  </si>
  <si>
    <t xml:space="preserve">Today Sell </t>
  </si>
  <si>
    <t>Yday Sell</t>
  </si>
  <si>
    <t>Higher high</t>
  </si>
  <si>
    <t>Lower High</t>
  </si>
  <si>
    <t xml:space="preserve">Higher Low </t>
  </si>
  <si>
    <t xml:space="preserve">Lower low </t>
  </si>
  <si>
    <t>trade level 87</t>
  </si>
  <si>
    <t>trade level 86</t>
  </si>
  <si>
    <t>trade level 85</t>
  </si>
  <si>
    <t>6790 trend level</t>
  </si>
  <si>
    <t>BTCUSD (BEARISH)</t>
  </si>
  <si>
    <t>ST30Y (BULLISH)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</si>
  <si>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(8/22/2024)</t>
    </r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</si>
  <si>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(10/23/2025)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</si>
  <si>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(11/8/2024)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</si>
  <si>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(3/5/2025)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</si>
  <si>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(5/23/2025)</t>
    </r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</si>
  <si>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(5/29/2025)</t>
    </r>
  </si>
  <si>
    <r>
      <t>Utilities Select Sector SPDR Fund (XLU)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(8/28/2025)</t>
    </r>
  </si>
  <si>
    <r>
      <t>Energy Select Sector SPDR Fund (XLE)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</si>
  <si>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(10/13/2025)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</si>
  <si>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(11/6/2025)</t>
    </r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</si>
  <si>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(11/11/2025)</t>
    </r>
  </si>
  <si>
    <r>
      <t>Consumer Discretionary Select Sector SPDR Fund (XLY)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(1/7/2026)</t>
    </r>
  </si>
  <si>
    <t>Outbucket</t>
  </si>
  <si>
    <t>trend 301 trade 324</t>
  </si>
  <si>
    <t>trade level 85 trend 68</t>
  </si>
  <si>
    <t>^SPX (BULLISH)</t>
  </si>
  <si>
    <t>^IXIC (BEARISH)</t>
  </si>
  <si>
    <t>^RUT (BULLISH)</t>
  </si>
  <si>
    <t>000001.SS (BULLISH)</t>
  </si>
  <si>
    <t>SHANGHAI COMPOSITE</t>
  </si>
  <si>
    <t>^N225 (BULLISH)</t>
  </si>
  <si>
    <t>^GDAXI (BULLISH)</t>
  </si>
  <si>
    <t>^VIX (BEARISH)</t>
  </si>
  <si>
    <t>DX-Y.NYB (BEARISH)</t>
  </si>
  <si>
    <t>EURUSD (BULLISH)</t>
  </si>
  <si>
    <t>USDJPY (BEARISH)</t>
  </si>
  <si>
    <t>GBPUSD (BULLISH)</t>
  </si>
  <si>
    <t>CADUSD (BULLISH)</t>
  </si>
  <si>
    <t>CLUSD (BULLISH)</t>
  </si>
  <si>
    <t>BZUSD (BULLISH)</t>
  </si>
  <si>
    <t>NGUSD (BEARISH)</t>
  </si>
  <si>
    <t>GCUSD (BULLISH)</t>
  </si>
  <si>
    <t>HGUSD (BULLISH)</t>
  </si>
  <si>
    <t>Copper Spot Price</t>
  </si>
  <si>
    <t>SILUSD (BULLISH)</t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</si>
  <si>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(10/23/2025)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</si>
  <si>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(3/5/2025)</t>
    </r>
  </si>
  <si>
    <r>
      <t>Utilities Select Sector SPDR Fund (XLU)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(8/28/2025)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</si>
  <si>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(10/13/2025)</t>
    </r>
  </si>
  <si>
    <t>VIX (NEUTRAL)</t>
  </si>
  <si>
    <t>GOOGL (BEARISH)</t>
  </si>
  <si>
    <t>XOP (BULLISH)</t>
  </si>
  <si>
    <t>SPDR S&amp;P Oil &amp; Gas Explore</t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</si>
  <si>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(3/5/2025)</t>
    </r>
  </si>
  <si>
    <t>GOOGL (NEUTRAL)</t>
  </si>
  <si>
    <t>trade level 82 trend 68</t>
  </si>
  <si>
    <t>trend 314 trade 324</t>
  </si>
  <si>
    <t>NFLX (NEUTRAL)</t>
  </si>
  <si>
    <t>trend 81000</t>
  </si>
  <si>
    <t>NFLX (BULLISH)</t>
  </si>
  <si>
    <t>SPX (NEUTRAL)</t>
  </si>
  <si>
    <t>6801 trend level</t>
  </si>
  <si>
    <t>trade 71 trend 81</t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</si>
  <si>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(11/11/2025)</t>
    </r>
  </si>
  <si>
    <t>CCLD</t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</si>
  <si>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(11/11/2025)</t>
    </r>
  </si>
  <si>
    <t>HYG (BEARISH)</t>
  </si>
  <si>
    <t>SPX (BEARISH)</t>
  </si>
  <si>
    <t>XLU (BULLISH)</t>
  </si>
  <si>
    <t>Utilities Select Sector SPDR Fund</t>
  </si>
  <si>
    <t>trend 69</t>
  </si>
  <si>
    <t xml:space="preserve">if it’s a macro position it’s a short dated call option ten days out </t>
  </si>
  <si>
    <t>trade level 82 trend 68 84 vol is good</t>
  </si>
  <si>
    <t>37 vol below is better</t>
  </si>
  <si>
    <t xml:space="preserve">ag </t>
  </si>
  <si>
    <t>WRBY</t>
  </si>
  <si>
    <t>TXG</t>
  </si>
  <si>
    <t>SLV</t>
  </si>
  <si>
    <t>trend is 4.22%</t>
  </si>
  <si>
    <t>XLI (NEUTRAL)</t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</si>
  <si>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(5/29/2025)</t>
    </r>
  </si>
  <si>
    <t>trade 70 trend 78</t>
  </si>
  <si>
    <t>UST2Y (BULLISH)</t>
  </si>
  <si>
    <t>NIKK (BEARISH)</t>
  </si>
  <si>
    <t>COPPER (NEUTRAL)</t>
  </si>
  <si>
    <r>
      <t>Industrial Select Sector SPDR Fund (XLI)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(3/12/2026)</t>
    </r>
  </si>
  <si>
    <t>higher lower low and bullish trade breakout</t>
  </si>
  <si>
    <t>LQD (BEARISH)</t>
  </si>
  <si>
    <t xml:space="preserve">37 vol below is better, broke immediate term trade yesterday, 4974 get aggressive buying. 5046 trade support 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</si>
  <si>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(8/22/2024)</t>
    </r>
  </si>
  <si>
    <t>COPPER (BEARISH)</t>
  </si>
  <si>
    <t>SILVER (NEUTRAL)</t>
  </si>
  <si>
    <t xml:space="preserve">37 vol below is better, broke immediate term trade yesterday, 4974 get aggressive buying. 5046 trade support 4322 is trend  </t>
  </si>
  <si>
    <t>trade level 82 trend 70 84 vol is good</t>
  </si>
  <si>
    <t>refreshed LR as of 11:38 6539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</si>
  <si>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(8/22/2024)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</si>
  <si>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(11/8/2024)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</si>
  <si>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(5/23/2025)</t>
    </r>
  </si>
  <si>
    <t>6801 trend level refreshed LR as of 11:38 6539</t>
  </si>
  <si>
    <t xml:space="preserve">37 vol below is better, broke immediate term trade yesterday, . 5046 trade support 4322 is trend  </t>
  </si>
  <si>
    <t>SILVER (BEARISH)</t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</si>
  <si>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(11/8/2024)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</si>
  <si>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(5/23/2025)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</si>
  <si>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(11/6/2025)</t>
    </r>
  </si>
  <si>
    <t>listen to the call and signal strength and get an idea of which stocks he will hit the button on for rta</t>
  </si>
  <si>
    <t>vg</t>
  </si>
  <si>
    <t>norw</t>
  </si>
  <si>
    <t>n/a</t>
  </si>
  <si>
    <t>needs to get above 77</t>
  </si>
  <si>
    <t>GOLD (NEUTRAL)</t>
  </si>
  <si>
    <t>37 vol below is better, broke immediate term trade yesterday, . 5011 trade support 4870 is trend, tail 4069</t>
  </si>
  <si>
    <t xml:space="preserve">  HEDGEYE PVV — RISK RANGE™ &amp; SIGNAL LEVEL TABLE</t>
  </si>
  <si>
    <t xml:space="preserve">  Quad 3Q / 3M (SHALLOW)  |  CPI 3.31% (range 3.20–3.42%)  |  Growth DECELERATING  |  Inflation ACCELERATING</t>
  </si>
  <si>
    <t xml:space="preserve">  ⚠ TECH STRESS: VXN-VIX +3.17</t>
  </si>
  <si>
    <t xml:space="preserve">  ⚠ OIL STRESS &gt; GOLD: OVX-GVZ +56.37</t>
  </si>
  <si>
    <t xml:space="preserve">  ⟳ VIX CHOP BUCKET (25.98) — trade both ways</t>
  </si>
  <si>
    <t xml:space="preserve">  TICKER         LRR  LRR◄──●──►TRR       TRR  TRD TRN TAL  ALIGN     PVV      SIG   SIZE         KEITH</t>
  </si>
  <si>
    <t xml:space="preserve">             buy/add  price in range      trim  21d 63d 252          P·V·V            cap%</t>
  </si>
  <si>
    <t xml:space="preserve">  PFIX         43.83  |---●-------|      48.78    ▼   ▼   ▼    3/3    ▼★★     SHORT   2.0%      KEITH: —</t>
  </si>
  <si>
    <t xml:space="preserve">            TRADE  46.07 ▼1.9%    TREND  45.68 ▼1.1%    TAIL  50.75 ▼10.9%</t>
  </si>
  <si>
    <t xml:space="preserve">            → Fresh TRADE break 2026-04-02 | → Fresh TREND break 2026-04-02</t>
  </si>
  <si>
    <t xml:space="preserve">  AAAU         41.61  |-----●-----|      50.07    ▼   ▼   ▲    2/3    —★      SHORT   1.5%      KEITH: —</t>
  </si>
  <si>
    <t xml:space="preserve">            TRADE  47.30 ▼2.3%    TREND  48.03 ▼3.8%    TAIL  38.96 ▲18.6%</t>
  </si>
  <si>
    <t xml:space="preserve">  RBLX         52.07  |--------●--|      61.77    ▲   ▼   ▼    1/3    —★      SHORT   2.0%      KEITH: —</t>
  </si>
  <si>
    <t xml:space="preserve">            TRADE  57.82 ▲2.9%    TREND  66.88 ▼11.1%    TAIL  94.33 ▼36.9%</t>
  </si>
  <si>
    <t xml:space="preserve">            → Fresh TRADE break 2026-04-01 | → Fresh TREND break 2026-04-02</t>
  </si>
  <si>
    <t xml:space="preserve">  EWP          51.76  |------●----|      56.28    ▲   ▼   ▲    1/3    ▲★★     SHORT   2.0%  KEITH: SHORT</t>
  </si>
  <si>
    <t xml:space="preserve">            TRADE  53.30 ▲2.6%    TREND [54.99 ▼0.6%]   TAIL  48.63 ▲12.4%</t>
  </si>
  <si>
    <t xml:space="preserve">            → Fresh TREND break 2026-04-02</t>
  </si>
  <si>
    <t xml:space="preserve">  BNO          46.89  |------●----|      56.96    ▲   ▲   ▲    3/3    —★       LONG   3.0%   KEITH: LONG</t>
  </si>
  <si>
    <t xml:space="preserve">            TRADE  48.75 ▲8.7%    TREND  37.54 ▲41.3%    TAIL  31.22 ▲69.8%</t>
  </si>
  <si>
    <t xml:space="preserve">  VG           13.30  |---●-------|      17.54    ▲   ▲   ▲    3/3    ▼★★      LONG   3.0%      KEITH: —</t>
  </si>
  <si>
    <t xml:space="preserve">            TRADE  14.36 ▲1.6%    TREND  10.85 ▲34.6%    TAIL  11.25 ▲29.7%</t>
  </si>
  <si>
    <t xml:space="preserve">  DAR          59.11  |---------●-|      64.20    ▲   ▲   ▲    3/3    ▲★★★     LONG   3.0%      KEITH: —</t>
  </si>
  <si>
    <t xml:space="preserve">            TRADE  57.03 ▲11.4%    TREND  49.68 ▲27.9%    TAIL  37.47 ▲69.6%</t>
  </si>
  <si>
    <t xml:space="preserve">  MTDR         59.62  |-----●-----|      65.22    ▲   ▲   ▲    3/3    ▼★★★     LONG   3.0%      KEITH: —</t>
  </si>
  <si>
    <t xml:space="preserve">            TRADE  59.06 ▲5.7%    TREND  50.45 ▲23.8%    TAIL  46.34 ▲34.7%</t>
  </si>
  <si>
    <t xml:space="preserve">  XLE          58.69  |---●-------|      61.71    ▲   ▲   ▲    3/3    ▼★★★     LONG   3.0%   KEITH: LONG</t>
  </si>
  <si>
    <t xml:space="preserve">            TRADE [58.93 ▲0.9%]   TREND  53.82 ▲10.5%    TAIL  45.94 ▲29.4%</t>
  </si>
  <si>
    <t xml:space="preserve">  GEL          17.14  |----●------|      18.24    ▼   ▲   ▲    1/3    ▼★★★     LONG   3.0%      KEITH: —</t>
  </si>
  <si>
    <t xml:space="preserve">            TRADE  17.82 ▼1.2%    TREND  17.32 ▲1.7%    TAIL  16.25 ▲8.3%</t>
  </si>
  <si>
    <t xml:space="preserve">            → Fresh TRADE break 2026-04-02</t>
  </si>
  <si>
    <t xml:space="preserve">  ───────────────────────────────────────────────────────────────────────────────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</si>
  <si>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⚠ OIL STRESS &gt; GOLD: OVX-GVZ +58.21</t>
  </si>
  <si>
    <t xml:space="preserve">  ⟳ VIX CHOP BUCKET (25.01) — trade both ways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</si>
  <si>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</si>
  <si>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 xml:space="preserve"> 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</si>
  <si>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PFIX         43.39  |----●------|      48.42    ▼   ▼   ▼    3/3    ▼★★     SHORT   2.0%      KEITH: —</t>
  </si>
  <si>
    <t xml:space="preserve">            TRADE  46.17 ▼2.0%    TREND [45.62 ▼0.8%]   TAIL  50.74 ▼10.8%</t>
  </si>
  <si>
    <t xml:space="preserve">            → Fresh TRADE break 2026-04-06 | → Fresh TREND break 2026-04-06</t>
  </si>
  <si>
    <t xml:space="preserve">  WRBY         18.28  |----●------|      23.12    ▼   ▼   ▼    3/3    —★      SHORT   2.0%      KEITH: —</t>
  </si>
  <si>
    <t xml:space="preserve">            TRADE  22.97 ▼12.7%    TREND  24.63 ▼18.6%    TAIL  22.59 ▼11.2%</t>
  </si>
  <si>
    <t xml:space="preserve">  AAAU         41.14  |-----●-----|      50.64    ▼   ▼   ▲    2/3    ▲★★     SHORT   1.5%      KEITH: —</t>
  </si>
  <si>
    <t xml:space="preserve">            TRADE  47.10 ▼2.2%    TREND  48.08 ▼4.2%    TAIL  39.02 ▲18.0%</t>
  </si>
  <si>
    <t xml:space="preserve">  HL           17.12  |------●----|      20.39    —   ▼   ▲    1/3    —★      SHORT   1.0%      KEITH: —</t>
  </si>
  <si>
    <t xml:space="preserve">            TRADE [19.05 ▼0.4%]   TREND  22.40 ▼15.3%    TAIL  12.91 ▲47.0%</t>
  </si>
  <si>
    <t xml:space="preserve">  MCO         417.85  |------●----|     458.65    ▲   ▼   ▼    1/3    ▲★★     SHORT   1.0%      KEITH: —</t>
  </si>
  <si>
    <t xml:space="preserve">            TRADE [438.88 ▲0.6%]   TREND  471.08 ▼6.3%    TAIL  481.91 ▼8.4%</t>
  </si>
  <si>
    <t xml:space="preserve">            → Fresh TRADE break 2026-04-02 | → Fresh TREND break 2026-04-06</t>
  </si>
  <si>
    <t xml:space="preserve">  RBLX         52.71  |------●----|      62.56    ▲   ▼   ▼    1/3    ▲★★     SHORT   2.0%      KEITH: —</t>
  </si>
  <si>
    <t xml:space="preserve">            TRADE  57.49 ▲2.0%    TREND  66.54 ▼11.9%    TAIL  94.33 ▼37.8%</t>
  </si>
  <si>
    <t xml:space="preserve">            → Fresh TREND break 2026-04-06</t>
  </si>
  <si>
    <t xml:space="preserve">  XLF          48.23  |------●----|      50.53    ▲   ▼   ▼    1/3    —★      SHORT   2.0%  KEITH: SHORT</t>
  </si>
  <si>
    <t xml:space="preserve">            TRADE [49.30 ▲0.8%]   TREND  51.94 ▼4.3%    TAIL  51.97 ▼4.4%</t>
  </si>
  <si>
    <t xml:space="preserve">  DAR          60.21  |-------●---|      64.72    ▲   ▲   ▲    3/3    ▲★★★     LONG   3.0%      KEITH: —</t>
  </si>
  <si>
    <t xml:space="preserve">            TRADE  57.57 ▲10.0%    TREND  50.11 ▲26.4%    TAIL  37.59 ▲68.5%</t>
  </si>
  <si>
    <t xml:space="preserve">  MTDR         59.72  |------●----|      65.94    ▲   ▲   ▲    3/3    ▼★★★     LONG   3.0%      KEITH: —</t>
  </si>
  <si>
    <t xml:space="preserve">            TRADE  59.48 ▲6.5%    TREND  50.77 ▲24.7%    TAIL  46.38 ▲36.6%</t>
  </si>
  <si>
    <t xml:space="preserve">  NORW         36.39  |------●----|      38.97    ▲   ▲   ▲    3/3    ▲★★      LONG   3.0%   KEITH: LONG</t>
  </si>
  <si>
    <t xml:space="preserve">            TRADE  36.60 ▲3.8%    TREND  34.29 ▲10.8%    TAIL  30.21 ▲25.8%</t>
  </si>
  <si>
    <t xml:space="preserve">  T            27.51  |-----●-----|      29.53    ▲   ▲   ▲    3/3    —★       LONG   4.0%      KEITH: —</t>
  </si>
  <si>
    <t xml:space="preserve">            TRADE [28.21 ▲0.8%]   TREND  26.83 ▲6.0%    TAIL  27.00 ▲5.3%</t>
  </si>
  <si>
    <t xml:space="preserve">  TXG          19.22  |------●----|      24.10    ▲   ▲   ▲    3/3    ▲★★      LONG   4.0%      KEITH: —</t>
  </si>
  <si>
    <t xml:space="preserve">            TRADE  19.84 ▲12.3%    TREND  20.15 ▲10.6%    TAIL  14.42 ▲54.5%</t>
  </si>
  <si>
    <t xml:space="preserve">  VG           13.02  |----●------|      17.51    ▲   ▲   ▲    3/3    ▼★★      LONG   3.0%      KEITH: —</t>
  </si>
  <si>
    <t xml:space="preserve">            TRADE  14.49 ▲3.0%    TREND  10.97 ▲36.1%    TAIL  11.27 ▲32.4%</t>
  </si>
  <si>
    <t xml:space="preserve">  CORN         17.88  |----●------|      18.67    ▼   ▲   ▲    1/3    ▼★★      LONG   3.0%   KEITH: LONG</t>
  </si>
  <si>
    <t xml:space="preserve">            TRADE  18.47 ▼1.5%    TREND  17.84 ▲2.0%    TAIL  17.88 ▲1.8%</t>
  </si>
  <si>
    <t xml:space="preserve">            → Fresh TRADE break 2026-04-06</t>
  </si>
  <si>
    <t xml:space="preserve">  GEL          17.19  |------●----|      18.26    —   ▲   ▲    1/3    —★       LONG   3.0%      KEITH: —</t>
  </si>
  <si>
    <t xml:space="preserve">            TRADE [17.79 ▲0.1%]   TREND  17.35 ▲2.6%    TAIL  16.26 ▲9.5%</t>
  </si>
  <si>
    <t xml:space="preserve">  TPYP         41.53  |-----●-----|      43.18    —   ▲   ▲    1/3    ▼★★      LONG   3.0%   KEITH: LONG</t>
  </si>
  <si>
    <t xml:space="preserve">            TRADE [42.37 ▼0.1%]   TREND  39.69 ▲6.6%    TAIL  36.38 ▲16.3%</t>
  </si>
  <si>
    <t xml:space="preserve">  XLE          58.32  |---●-------|      61.38    —   ▲   ▲    1/3    ▼★★★     LONG   3.0%   KEITH: LONG</t>
  </si>
  <si>
    <t xml:space="preserve">            TRADE [59.05 ▲0.4%]   TREND  54.03 ▲9.7%    TAIL  45.99 ▲28.9%</t>
  </si>
  <si>
    <t xml:space="preserve">  EWP          52.12  |------●----|      56.63    ▲   —   ▲    1/3    ▲★★   NEUTRAL   0.0%  KEITH: SHORT</t>
  </si>
  <si>
    <t xml:space="preserve">            TRADE  53.38 ▲3.0%    TREND [54.99 ▼0.0%]   TAIL  48.69 ▲12.9%</t>
  </si>
  <si>
    <t xml:space="preserve">  TRADE=21d rolling mean  TREND=63d rolling mean  TAIL=252d rolling mean</t>
  </si>
  <si>
    <t xml:space="preserve">  [level] = price within 1% (TESTING)  ▲/▼% = distance from level</t>
  </si>
  <si>
    <t xml:space="preserve">  PVV: ▲/▼★★★=3/3 HIGH  ★★=2/3 MOD  ★=1/3 LOW  |  LRR=buy  TRR=trim</t>
  </si>
  <si>
    <t xml:space="preserve">  Quad 3Q / 3M (SHALLOW)  |  CPI 3.71% (range 3.60–3.82%)  |  Growth DECELERATING  |  Inflation ACCELERATING</t>
  </si>
  <si>
    <t xml:space="preserve">  ⚠ OIL STRESS &gt; GOLD: OVX-GVZ +59.72</t>
  </si>
  <si>
    <t xml:space="preserve">  ⟳ VIX CHOP BUCKET (26.62) — trade both ways</t>
  </si>
  <si>
    <t xml:space="preserve">             buy/add  price in range      trim  21d 63d 252          P·V·V            cap%              </t>
  </si>
  <si>
    <t xml:space="preserve">  WRBY         18.50  |-----●-----|      23.33    ▼   ▼   ▼    3/3    —★      SHORT   2.0%   KEITH: LONG</t>
  </si>
  <si>
    <t xml:space="preserve">            TRADE  22.82 ▼9.4%    TREND  24.61 ▼15.9%    TAIL  22.61 ▼8.5% </t>
  </si>
  <si>
    <t xml:space="preserve">            → Fresh TRADE break 2026-04-07 | → Fresh TREND break 2026-04-07</t>
  </si>
  <si>
    <t xml:space="preserve">  AAAU         41.93  |-----●-----|      49.84    ▼   ▼   ▲    2/3    —★      SHORT   1.5%      KEITH: —</t>
  </si>
  <si>
    <t xml:space="preserve">            TRADE  46.87 ▼2.0%    TREND  48.12 ▼4.5%    TAIL  39.08 ▲17.6% </t>
  </si>
  <si>
    <t xml:space="preserve">  HL           17.40  |------●----|      20.41    —   ▼   ▲    1/3    —★      SHORT   1.0%      KEITH: —</t>
  </si>
  <si>
    <t xml:space="preserve">            TRADE [18.99 ▲0.6%]   TREND  22.39 ▼14.7%    TAIL  12.96 ▲47.4% </t>
  </si>
  <si>
    <t xml:space="preserve">            → Fresh TRADE break 2026-04-06 | → Fresh TREND break 2026-04-07</t>
  </si>
  <si>
    <t xml:space="preserve">  XLF          48.40  |------●----|      50.72    ▲   ▼   ▼    1/3    ▲★★     SHORT   2.0%  KEITH: SHORT</t>
  </si>
  <si>
    <t xml:space="preserve">            TRADE  49.28 ▲1.1%    TREND  51.84 ▼3.9%    TAIL  51.98 ▼4.2% </t>
  </si>
  <si>
    <t xml:space="preserve">            → Fresh TREND break 2026-04-07</t>
  </si>
  <si>
    <t xml:space="preserve">  ANF          88.31  |-------●---|     101.07    ▲   ▲   ▲    3/3    ▲★★      LONG   4.0%      KEITH: —</t>
  </si>
  <si>
    <t xml:space="preserve">            TRADE  88.76 ▲9.6%    TREND  96.25 ▲1.1%    TAIL  88.69 ▲9.7% </t>
  </si>
  <si>
    <t xml:space="preserve">            ★ FAILED TREND RECLAIM vs 97.63</t>
  </si>
  <si>
    <t xml:space="preserve">  DAR          60.92  |-------●---|      65.05    ▲   ▲   ▲    3/3    ▲★★★     LONG   3.0%   KEITH: LONG</t>
  </si>
  <si>
    <t xml:space="preserve">            TRADE  58.11 ▲9.6%    TREND  50.53 ▲26.0%    TAIL  37.72 ▲68.8% </t>
  </si>
  <si>
    <t xml:space="preserve">  MTDR         60.38  |-------●---|      66.60    ▲   ▲   ▲    3/3    —★       LONG   3.0%      KEITH: —</t>
  </si>
  <si>
    <t xml:space="preserve">            TRADE  59.88 ▲7.9%    TREND  51.15 ▲26.4%    TAIL  46.46 ▲39.1% </t>
  </si>
  <si>
    <t xml:space="preserve">  NORW         36.71  |------●----|      39.19    ▲   ▲   ▲    3/3    ▲★★★     LONG   3.0%   KEITH: LONG</t>
  </si>
  <si>
    <t xml:space="preserve">            TRADE  36.73 ▲4.2%    TREND  34.42 ▲11.2%    TAIL  30.26 ▲26.5% </t>
  </si>
  <si>
    <t xml:space="preserve">  TPYP         41.68  |-------●---|      43.35    ▲   ▲   ▲    3/3    —★       LONG   3.0%   KEITH: LONG</t>
  </si>
  <si>
    <t xml:space="preserve">            TRADE  42.40 ▲1.1%    TREND  39.81 ▲7.7%    TAIL  36.40 ▲17.8% </t>
  </si>
  <si>
    <t xml:space="preserve">  TXG          19.12  |-----●-----|      23.98    ▲   ▲   ▲    3/3    ▲★★      LONG   4.0%      KEITH: —</t>
  </si>
  <si>
    <t xml:space="preserve">            TRADE  19.86 ▲8.7%    TREND  20.20 ▲6.9%    TAIL  14.48 ▲49.2% </t>
  </si>
  <si>
    <t xml:space="preserve">  VG           13.64  |------●----|      18.13    ▲   ▲   ▲    3/3    ▼★★      LONG   3.0%   KEITH: LONG</t>
  </si>
  <si>
    <t xml:space="preserve">            TRADE  14.73 ▲11.7%    TREND  11.14 ▲47.6%    TAIL  11.31 ▲45.5% </t>
  </si>
  <si>
    <t xml:space="preserve">  XLE          58.34  |------●----|      61.81    ▲   ▲   ▲    3/3    ▼★★★     LONG   3.0%   KEITH: LONG</t>
  </si>
  <si>
    <t xml:space="preserve">            TRADE  59.24 ▲1.7%    TREND  54.25 ▲11.1%    TAIL  46.06 ▲30.8% </t>
  </si>
  <si>
    <t xml:space="preserve">  CORN         17.92  |---●-------|      18.56    ▼   ▲   ▲    1/3    ▼★★      LONG   3.0%   KEITH: LONG</t>
  </si>
  <si>
    <t xml:space="preserve">            TRADE  18.46 ▼1.9%    TREND  17.84 ▲1.5%    TAIL  17.87 ▲1.3% </t>
  </si>
  <si>
    <t xml:space="preserve">            → Fresh TRADE break 2026-04-07</t>
  </si>
  <si>
    <t xml:space="preserve">  EUO          29.03  |-----●-----|      30.28    —   ▲   ▲    1/3    ▼★★      LONG   2.0%      KEITH: —</t>
  </si>
  <si>
    <t xml:space="preserve">            TRADE [29.65 ▼0.1%]   TREND  28.81 ▲2.8%    TAIL  28.74 ▲3.0% </t>
  </si>
  <si>
    <t xml:space="preserve">  GEL          17.07  |----●------|      18.13    ▼   —   ▲    1/3    ▼★★   NEUTRAL   0.0%      KEITH: —</t>
  </si>
  <si>
    <t xml:space="preserve">            TRADE  17.75 ▼1.7%    TREND [17.37 ▲0.5%]   TAIL  16.27 ▲7.3% </t>
  </si>
  <si>
    <t xml:space="preserve">  PFIX         43.24  |-----●-----|      48.35    ▼   —   ▼    1/3    —★    NEUTRAL   0.0%   KEITH: LONG</t>
  </si>
  <si>
    <t xml:space="preserve">            TRADE  46.24 ▼1.0%    TREND [45.58 ▲0.4%]   TAIL  50.73 ▼9.8% </t>
  </si>
  <si>
    <t xml:space="preserve">            → Fresh TRADE break 2026-04-07 | → Fresh TREND break 2026-04-06</t>
  </si>
  <si>
    <t>RUT (NEUTRAL)</t>
  </si>
  <si>
    <t xml:space="preserve">  ⚠ TECH STRESS: VXN-VIX +4.08</t>
  </si>
  <si>
    <t xml:space="preserve">  ⚠ SMALL-CAP LEADING: RVX-VIX +7.79</t>
  </si>
  <si>
    <t xml:space="preserve">  ⚠ OIL STRESS &gt; GOLD: OVX-GVZ +53.20</t>
  </si>
  <si>
    <t xml:space="preserve">  WING        149.77  |-------●---|     181.49    ▼   ▼   ▼    3/3    ▲★★     SHORT   2.0%  KEITH: SHORT</t>
  </si>
  <si>
    <t xml:space="preserve">            TRADE  175.12 ▼2.5%    TREND  231.54 ▼26.3%    TAIL  272.00 ▼37.2% </t>
  </si>
  <si>
    <t xml:space="preserve">            → Fresh TRADE break 2026-04-09 | → Fresh TREND break 2026-04-09</t>
  </si>
  <si>
    <t xml:space="preserve">  WRBY         18.66  |-----●-----|      23.42    ▼   ▼   ▼    3/3    —★      SHORT   2.0%   KEITH: LONG</t>
  </si>
  <si>
    <t xml:space="preserve">            TRADE  22.43 ▼7.2%    TREND  24.44 ▼14.9%    TAIL  22.66 ▼8.2% </t>
  </si>
  <si>
    <t xml:space="preserve">  AAAU         42.56  |------●----|      50.37    —   ▼   ▲    1/3    —★      SHORT   1.0%      KEITH: —</t>
  </si>
  <si>
    <t xml:space="preserve">            TRADE [46.49 ▲1.0%]   TREND  48.21 ▼2.6%    TAIL  39.22 ▲19.7% </t>
  </si>
  <si>
    <t xml:space="preserve">            → Fresh TRADE break 2026-04-08 | → Fresh TREND break 2026-04-09</t>
  </si>
  <si>
    <t xml:space="preserve">  HL           17.31  |-----●-----|      20.97    ▲   ▼   ▲    1/3    ▼★★     SHORT   1.0%      KEITH: —</t>
  </si>
  <si>
    <t xml:space="preserve">            TRADE  18.79 ▲1.5%    TREND  22.32 ▼14.6%    TAIL  13.08 ▲45.8% </t>
  </si>
  <si>
    <t xml:space="preserve">            → Fresh TREND break 2026-04-09</t>
  </si>
  <si>
    <t xml:space="preserve">  IHF          42.86  |--------●--|      45.21    ▲   ▼   ▼    1/3    ▲★★     SHORT   2.0%  KEITH: SHORT</t>
  </si>
  <si>
    <t xml:space="preserve">            TRADE  42.96 ▲4.0%    TREND  45.38 ▼1.6%    TAIL  47.26 ▼5.5% </t>
  </si>
  <si>
    <t xml:space="preserve">  KSS          12.36  |------●----|      14.04    ▲   ▼   ▼    1/3    ▲★★     SHORT   1.0%      KEITH: —</t>
  </si>
  <si>
    <t xml:space="preserve">            TRADE  12.89 ▲3.6%    TREND  16.22 ▼17.6%    TAIL  14.28 ▼6.5% </t>
  </si>
  <si>
    <t xml:space="preserve">  XLF          49.23  |-------●---|      51.54    ▲   ▼   ▼    1/3    ▲★★     SHORT   2.0%  KEITH: SHORT</t>
  </si>
  <si>
    <t xml:space="preserve">            TRADE  49.36 ▲3.1%    TREND  51.69 ▼1.5%    TAIL  52.04 ▼2.2% </t>
  </si>
  <si>
    <t xml:space="preserve">  DAR          60.87  |-----●-----|      64.98    ▲   ▲   ▲    3/3    ▲★★★     LONG   3.0%   KEITH: LONG</t>
  </si>
  <si>
    <t xml:space="preserve">            TRADE  59.12 ▲6.3%    TREND  51.34 ▲22.4%    TAIL  37.99 ▲65.4% </t>
  </si>
  <si>
    <t xml:space="preserve">  JBS          17.09  |------●----|      18.75    ▲   ▲   ▲    3/3    —★       LONG   4.0%      KEITH: —</t>
  </si>
  <si>
    <t xml:space="preserve">            TRADE  16.34 ▲11.2%    TREND  15.91 ▲14.2%    TAIL  14.68 ▲23.7% </t>
  </si>
  <si>
    <t xml:space="preserve">  MTDR         59.02  |----●------|      65.15    ▲   ▲   ▲    3/3    —★       LONG   3.0%      KEITH: —</t>
  </si>
  <si>
    <t xml:space="preserve">            TRADE  60.41 ▲1.7%    TREND  51.79 ▲18.6%    TAIL  46.64 ▲31.7% </t>
  </si>
  <si>
    <t xml:space="preserve">  NORW         36.90  |-------●---|      39.67    ▲   ▲   ▲    3/3    ▲★★      LONG   3.0%   KEITH: LONG</t>
  </si>
  <si>
    <t xml:space="preserve">            TRADE  37.02 ▲4.6%    TREND  34.69 ▲11.6%    TAIL  30.38 ▲27.5% </t>
  </si>
  <si>
    <t xml:space="preserve">  SFD          27.94  |--------●--|      29.45    ▲   ▲   ▲    3/3    ▲★★      LONG   4.0%      KEITH: —</t>
  </si>
  <si>
    <t xml:space="preserve">            TRADE  25.73 ▲13.2%    TREND  24.64 ▲18.2%    TAIL  23.34 ▲24.8% </t>
  </si>
  <si>
    <t xml:space="preserve">  TXG          19.76  |------●----|      24.83    ▲   ▲   ▲    3/3    ▲★★      LONG   4.0%      KEITH: —</t>
  </si>
  <si>
    <t xml:space="preserve">            TRADE  20.08 ▲13.1%    TREND  20.30 ▲11.9%    TAIL  14.60 ▲55.6% </t>
  </si>
  <si>
    <t xml:space="preserve">  BNO          45.45  |----●------|      56.15    ▼   ▲   ▲    1/3    ▼★★      LONG   3.0%   KEITH: LONG</t>
  </si>
  <si>
    <t xml:space="preserve">            TRADE  50.49 ▼2.1%    TREND  39.02 ▲26.7%    TAIL  31.58 ▲56.5% </t>
  </si>
  <si>
    <t xml:space="preserve">            → Fresh TRADE break 2026-04-09</t>
  </si>
  <si>
    <t xml:space="preserve">  GEL          17.19  |------●----|      18.24    —   ▲   ▲    1/3    —★       LONG   3.0%      KEITH: —</t>
  </si>
  <si>
    <t xml:space="preserve">            TRADE [17.74 ▲0.3%]   TREND  17.45 ▲2.0%    TAIL  16.30 ▲9.2% </t>
  </si>
  <si>
    <t xml:space="preserve">  TPYP         41.72  |-------●---|      43.40    —   ▲   ▲    1/3    —★       LONG   3.0%   KEITH: LONG</t>
  </si>
  <si>
    <t xml:space="preserve">            TRADE [42.47 ▲0.9%]   TREND  40.06 ▲7.0%    TAIL  36.48 ▲17.4% </t>
  </si>
  <si>
    <t xml:space="preserve">            → Fresh TRADE break 2026-04-08</t>
  </si>
  <si>
    <t xml:space="preserve">  VG           13.02  |--●--------|      16.60    ▼   ▲   ▲    1/3    ▼★★      LONG   3.0%   KEITH: LONG</t>
  </si>
  <si>
    <t xml:space="preserve">            TRADE  14.96 ▼7.5%    TREND  11.36 ▲21.8%    TAIL  11.36 ▲21.8% </t>
  </si>
  <si>
    <t xml:space="preserve">  XLE          57.24  |----●------|      61.16    ▼   ▲   ▲    1/3    —★       LONG   3.0%   KEITH: LONG</t>
  </si>
  <si>
    <t xml:space="preserve">            TRADE  59.48 ▼1.1%    TREND  54.66 ▲7.6%    TAIL  46.21 ▲27.3% </t>
  </si>
  <si>
    <t xml:space="preserve">  EUO          28.85  |--●--------|      29.86    ▼   —   ▲    1/3    ▼★★   NEUTRAL   0.0%   KEITH: LONG</t>
  </si>
  <si>
    <t xml:space="preserve">            TRADE  29.63 ▼1.9%    TREND [28.83 ▲0.8%]   TAIL  28.72 ▲1.2% 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</si>
  <si>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(8/22/2024)</t>
    </r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</si>
  <si>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(10/23/2025)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</si>
  <si>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(11/8/2024)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</si>
  <si>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(3/5/2025)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</si>
  <si>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(5/23/2025)</t>
    </r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</si>
  <si>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(5/29/2025)</t>
    </r>
  </si>
  <si>
    <r>
      <t>Energy Select Sector SPDR Fund (XLE)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</si>
  <si>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(10/13/2025)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</si>
  <si>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(11/6/2025)</t>
    </r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</si>
  <si>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(11/11/2025)</t>
    </r>
  </si>
  <si>
    <r>
      <t>Consumer Discretionary Select Sector SPDR Fund (XLY)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(1/7/2026)</t>
    </r>
  </si>
  <si>
    <r>
      <t>Industrial Select Sector SPDR Fund (XLI)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(3/12/2026)</t>
    </r>
  </si>
  <si>
    <t xml:space="preserve">  ⚠ TECH STRESS: VXN-VIX +3.92</t>
  </si>
  <si>
    <t xml:space="preserve">  ⚠ SMALL-CAP LEADING: RVX-VIX +9.74</t>
  </si>
  <si>
    <t xml:space="preserve">  ⚠ OIL STRESS &gt; GOLD: OVX-GVZ +48.10</t>
  </si>
  <si>
    <t xml:space="preserve">             buy/add  price in range      trim  21d 63d 252    X/3   P·V·V            cap%              </t>
  </si>
  <si>
    <t xml:space="preserve">                      ▲=above  ▼=below            sig lvl lvl                                             </t>
  </si>
  <si>
    <t xml:space="preserve">  WRBY         18.70  |-----●-----|      23.40    ▼   ▼   ▼    3/3    ▲★★     SHORT   2.0%   KEITH: LONG</t>
  </si>
  <si>
    <t xml:space="preserve">            TRADE  22.22 ▼5.6%    TREND  24.33 ▼13.8%    TAIL  22.69 ▼7.5% </t>
  </si>
  <si>
    <t xml:space="preserve">            → Fresh TRADE break 2026-04-10 | → Fresh TREND break 2026-04-10</t>
  </si>
  <si>
    <t xml:space="preserve">  DAR          59.97  |----●------|      64.53    ▲   ▲   ▲    3/3    —★       LONG   4.0%   KEITH: LONG</t>
  </si>
  <si>
    <t xml:space="preserve">            TRADE  59.35 ▲4.3%    TREND  51.69 ▲19.7%    TAIL  38.12 ▲62.3% </t>
  </si>
  <si>
    <t xml:space="preserve">  JBS          17.34  |-------●---|      18.99    ▲   ▲   ▲    3/3    ▲★★★     LONG   4.0%      KEITH: —</t>
  </si>
  <si>
    <t xml:space="preserve">            TRADE  16.50 ▲12.0%    TREND  15.99 ▲15.6%    TAIL  14.70 ▲25.7% </t>
  </si>
  <si>
    <t xml:space="preserve">  NORW         36.95  |-----●-----|      39.77    ▲   ▲   ▲    3/3    ▲★★      LONG   4.0%   KEITH: LONG</t>
  </si>
  <si>
    <t xml:space="preserve">            TRADE  37.16 ▲3.5%    TREND  34.82 ▲10.5%    TAIL  30.44 ▲26.3% </t>
  </si>
  <si>
    <t xml:space="preserve">  SFD          28.28  |--------●--|      30.03    ▲   ▲   ▲    3/3    ▲★★      LONG   4.0%      KEITH: —</t>
  </si>
  <si>
    <t xml:space="preserve">            TRADE  26.05 ▲14.2%    TREND  24.76 ▲20.1%    TAIL  23.38 ▲27.2% </t>
  </si>
  <si>
    <t xml:space="preserve">  SWBI         13.88  |-----●-----|      15.47    ▲   ▲   ▲    3/3    —★       LONG   6.0%   KEITH: LONG</t>
  </si>
  <si>
    <t xml:space="preserve">            TRADE  14.47 ▲1.3%    TREND  12.59 ▲16.4%    TAIL  10.08 ▲45.4% </t>
  </si>
  <si>
    <t xml:space="preserve">  TXG          20.04  |------●----|      25.19    ▲   ▲   ▲    3/3    ▲★★      LONG   6.0%      KEITH: —</t>
  </si>
  <si>
    <t xml:space="preserve">            TRADE  20.22 ▲14.0%    TREND  20.37 ▲13.2%    TAIL  14.66 ▲57.2% </t>
  </si>
  <si>
    <t xml:space="preserve">  GEL          17.29  |------●----|      18.35    —   ▲   ▲    1/3    —★       LONG   3.0%      KEITH: —</t>
  </si>
  <si>
    <t xml:space="preserve">            TRADE [17.75 ▲1.0%]   TREND  17.49 ▲2.5%    TAIL  16.33 ▲9.8% </t>
  </si>
  <si>
    <t xml:space="preserve">  TPYP         41.45  |----●------|      43.12    —   ▲   ▲    1/3    —★       LONG   3.0%   KEITH: LONG</t>
  </si>
  <si>
    <t xml:space="preserve">            TRADE [42.46 ▼0.6%]   TREND  40.16 ▲5.1%    TAIL  36.52 ▲15.5% </t>
  </si>
  <si>
    <t xml:space="preserve">            → Fresh TRADE break 2026-04-10</t>
  </si>
  <si>
    <t xml:space="preserve">  AAAU         43.41  |------●----|      49.94    ▲   ▼   ▲    1/3    ▲★★   NEUTRAL   0.0%      KEITH: —</t>
  </si>
  <si>
    <t xml:space="preserve">            TRADE  46.29 ▲1.6%    TREND  48.25 ▼2.5%    TAIL  39.29 ▲19.8% </t>
  </si>
  <si>
    <t xml:space="preserve">            → Fresh TREND break 2026-04-10</t>
  </si>
  <si>
    <t xml:space="preserve">  HL           17.42  |------●----|      21.22    ▲   ▼   ▲    1/3    ▲★★   NEUTRAL   0.0%      KEITH: —</t>
  </si>
  <si>
    <t xml:space="preserve">            TRADE  18.73 ▲4.3%    TREND  22.30 ▼12.4%    TAIL  13.14 ▲48.6% </t>
  </si>
  <si>
    <t xml:space="preserve">  KSS          12.33  |-----●-----|      14.33    ▲   ▼   ▼    1/3    ▲★★   NEUTRAL   0.0%      KEITH: —</t>
  </si>
  <si>
    <t xml:space="preserve">            TRADE  12.89 ▲3.5%    TREND  16.09 ▼17.1%    TAIL  14.31 ▼6.7% </t>
  </si>
  <si>
    <t xml:space="preserve">  MTDR         58.11  |---●-------|      63.59    ▼   ▲   ▲    1/3    ▼★★★  NEUTRAL   0.0%      KEITH: —</t>
  </si>
  <si>
    <t xml:space="preserve">            TRADE  60.48 ▼1.6%    TREND  52.03 ▲14.4%    TAIL  46.73 ▲27.4% </t>
  </si>
  <si>
    <t xml:space="preserve">  VG           11.98  |--●--------|      15.95    ▼   ▲   ▲    1/3    ▼★★   NEUTRAL   0.0%   KEITH: LONG</t>
  </si>
  <si>
    <t xml:space="preserve">            TRADE  14.94 ▼14.1%    TREND  11.44 ▲12.2%    TAIL  11.38 ▲12.8% </t>
  </si>
  <si>
    <t xml:space="preserve">  WING        156.52  |-------●---|     187.08    ▲   ▼   ▼    1/3    ▲★★   NEUTRAL   0.0%  KEITH: SHORT</t>
  </si>
  <si>
    <t xml:space="preserve">            TRADE  174.09 ▲2.6%    TREND  230.24 ▼22.4%    TAIL  271.87 ▼34.3% </t>
  </si>
  <si>
    <t xml:space="preserve">            ★ FAILED TRADE RECLAIM vs 180.00 | → Fresh TREND break 2026-04-10</t>
  </si>
  <si>
    <t xml:space="preserve">  XLE          56.13  |--●--------|      60.06    ▼   ▲   ▲    1/3    ▼★★★  NEUTRAL   0.0%   KEITH: LONG</t>
  </si>
  <si>
    <t xml:space="preserve">            TRADE  59.40 ▼4.2%    TREND  54.80 ▲3.8%    TAIL  46.28 ▲22.9% </t>
  </si>
  <si>
    <t xml:space="preserve">  XLF          49.42  |------●----|      51.76    ▲   ▼   ▼    1/3    ▲★★   NEUTRAL   0.0%  KEITH: SHORT</t>
  </si>
  <si>
    <t xml:space="preserve">            TRADE  49.43 ▲2.6%    TREND  51.61 ▼1.7%    TAIL  52.07 ▼2.6% </t>
  </si>
  <si>
    <t xml:space="preserve">  DURATIONS: TRD=TRADE(21d ~1mo)  TRN=TREND(63d ~3mo)  TAL=TAIL(252d ~1yr)</t>
  </si>
  <si>
    <t xml:space="preserve">  ARROWS: ▲=price ABOVE signal level (bullish)  ▼=price BELOW (bearish)  —=neutral</t>
  </si>
  <si>
    <t xml:space="preserve">  KEY: ▲TRD + ▼TRN = bounce in downtrend = SHORT RELOAD zone (fade at TRR)</t>
  </si>
  <si>
    <t xml:space="preserve">       ▼TRD + ▲TRN = pullback in uptrend  = LONG ADD zone   (buy near LRR)</t>
  </si>
  <si>
    <t xml:space="preserve">  [level] = price within 1% of signal level  |  LRR=buy/add  TRR=trim/short</t>
  </si>
  <si>
    <t xml:space="preserve">  PVV: ▲/▼★★★=3/3 HIGH  ★★=2/3 MOD  ★=1/3 LOW</t>
  </si>
  <si>
    <t>trend is 4.25%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</si>
  <si>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(8/22/2024)</t>
    </r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</si>
  <si>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(10/23/2025)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</si>
  <si>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(11/8/2024)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</si>
  <si>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(3/5/2025)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</si>
  <si>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(5/23/2025)</t>
    </r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</si>
  <si>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(5/29/2025)</t>
    </r>
  </si>
  <si>
    <r>
      <t>Energy Select Sector SPDR Fund (XLE)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</si>
  <si>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(10/13/2025)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</si>
  <si>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(11/6/2025)</t>
    </r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</si>
  <si>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(11/11/2025)</t>
    </r>
  </si>
  <si>
    <r>
      <t>Consumer Discretionary Select Sector SPDR Fund (XLY)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(1/7/2026)</t>
    </r>
  </si>
  <si>
    <r>
      <t>Industrial Select Sector SPDR Fund (XLI)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(3/12/2026)</t>
    </r>
  </si>
  <si>
    <t>XTL (BULLISH)</t>
  </si>
  <si>
    <t>State Street SPDR S&amp;P Telecom ETF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</si>
  <si>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(8/22/2024)</t>
    </r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</si>
  <si>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(10/23/2025)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</si>
  <si>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(11/8/2024)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</si>
  <si>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(3/5/2025)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</si>
  <si>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(5/23/2025)</t>
    </r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</si>
  <si>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(5/29/2025)</t>
    </r>
  </si>
  <si>
    <r>
      <t>Energy Select Sector SPDR Fund (XLE)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</si>
  <si>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(10/13/2025)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</si>
  <si>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(11/6/2025)</t>
    </r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</si>
  <si>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(11/11/2025)</t>
    </r>
  </si>
  <si>
    <r>
      <t>Consumer Discretionary Select Sector SPDR Fund (XLY)</t>
    </r>
    <r>
      <rPr>
        <sz val="11"/>
        <color rgb="FF252729"/>
        <rFont val="Arial"/>
        <family val="2"/>
      </rPr>
      <t> = </t>
    </r>
    <r>
      <rPr>
        <b/>
        <sz val="11"/>
        <color rgb="FF999999"/>
        <rFont val="Arial"/>
        <family val="2"/>
      </rPr>
      <t>Neutral</t>
    </r>
    <r>
      <rPr>
        <sz val="11"/>
        <color rgb="FF252729"/>
        <rFont val="Arial"/>
        <family val="2"/>
      </rPr>
      <t> (1/7/2026)</t>
    </r>
  </si>
  <si>
    <r>
      <t>Industrial Select Sector SPDR Fund (XLI)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(3/12/2026)</t>
    </r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</si>
  <si>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(8/22/2024)</t>
    </r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</si>
  <si>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(10/23/2025)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</si>
  <si>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(11/8/2024)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</si>
  <si>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(3/5/2025)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</si>
  <si>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(5/23/2025)</t>
    </r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</si>
  <si>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(5/29/2025)</t>
    </r>
  </si>
  <si>
    <r>
      <t>Energy Select Sector SPDR Fund (XLE)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</si>
  <si>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(10/13/2025)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</si>
  <si>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(11/6/2025)</t>
    </r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</si>
  <si>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(11/11/2025)</t>
    </r>
  </si>
  <si>
    <r>
      <t>Consumer Discretionary Select Sector SPDR Fund (XLY)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(1/7/2026)</t>
    </r>
  </si>
  <si>
    <r>
      <t>Industrial Select Sector SPDR Fund (XLI)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(3/12/2026)</t>
    </r>
  </si>
  <si>
    <t>XLU (BEARISH)</t>
  </si>
  <si>
    <t>MSFT (BULLISH)</t>
  </si>
  <si>
    <t>ORCL (BULLISH)</t>
  </si>
  <si>
    <r>
      <t>Aerospace &amp; Defense ETF (ITA)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(8/22/2024)</t>
    </r>
  </si>
  <si>
    <r>
      <t>Simplify Healthcare ETF (PINK)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(10/23/2025)</t>
    </r>
  </si>
  <si>
    <r>
      <t>Real Estate Select Sector SPDR Fund (XLRE)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(11/8/2024)</t>
    </r>
  </si>
  <si>
    <r>
      <t>SPX Momentum (SPMO)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(3/5/2025)</t>
    </r>
  </si>
  <si>
    <r>
      <t>Consumer Staples Select Sector SPDR Fund (XLP)</t>
    </r>
    <r>
      <rPr>
        <sz val="11"/>
        <color rgb="FF252729"/>
        <rFont val="Arial"/>
        <family val="2"/>
      </rPr>
      <t> = </t>
    </r>
    <r>
      <rPr>
        <b/>
        <sz val="11"/>
        <color rgb="FFEB0028"/>
        <rFont val="Arial"/>
        <family val="2"/>
      </rPr>
      <t>Bearish</t>
    </r>
    <r>
      <rPr>
        <sz val="11"/>
        <color rgb="FF252729"/>
        <rFont val="Arial"/>
        <family val="2"/>
      </rPr>
      <t> (5/23/2025)</t>
    </r>
  </si>
  <si>
    <r>
      <t>iShares US Insurance ETF (IAK)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(5/29/2025)</t>
    </r>
  </si>
  <si>
    <r>
      <t>Energy Select Sector SPDR Fund (XLE)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(10/8/2025)</t>
    </r>
  </si>
  <si>
    <r>
      <t>Financial Select Sector SPDR Fund (XLF)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(10/13/2025)</t>
    </r>
  </si>
  <si>
    <r>
      <t>VanEck Gold Miners ETF (GDX)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(11/6/2025)</t>
    </r>
  </si>
  <si>
    <r>
      <t>Global X Uranium ETF (URA)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(11/11/2025)</t>
    </r>
  </si>
  <si>
    <r>
      <t>Consumer Discretionary Select Sector SPDR Fund (XLY)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(1/7/2026)</t>
    </r>
  </si>
  <si>
    <r>
      <t>Industrial Select Sector SPDR Fund (XLI)</t>
    </r>
    <r>
      <rPr>
        <sz val="11"/>
        <color rgb="FF252729"/>
        <rFont val="Arial"/>
        <family val="2"/>
      </rPr>
      <t> = </t>
    </r>
    <r>
      <rPr>
        <b/>
        <sz val="11"/>
        <color rgb="FF00AE41"/>
        <rFont val="Arial"/>
        <family val="2"/>
      </rPr>
      <t>Bullish</t>
    </r>
    <r>
      <rPr>
        <sz val="11"/>
        <color rgb="FF252729"/>
        <rFont val="Arial"/>
        <family val="2"/>
      </rPr>
      <t> (3/12/2026)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</si>
</sst>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3F3F3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252729"/>
      <name val="Arial"/>
      <family val="2"/>
    </font>
    <font>
      <b/>
      <sz val="11"/>
      <color rgb="FF252729"/>
      <name val="Arial"/>
      <family val="2"/>
    </font>
    <font>
      <b/>
      <sz val="11"/>
      <color rgb="FF00AE41"/>
      <name val="Arial"/>
      <family val="2"/>
    </font>
    <font>
      <b/>
      <sz val="11"/>
      <color rgb="FF999999"/>
      <name val="Arial"/>
      <family val="2"/>
    </font>
    <font>
      <b/>
      <sz val="11"/>
      <color rgb="FFEB0028"/>
      <name val="Arial"/>
      <family val="2"/>
    </font>
    <font>
      <b/>
      <sz val="18"/>
      <color theme="1"/>
      <name val="Calibri"/>
      <family val="2"/>
      <scheme val="minor"/>
    </font>
    <font>
      <sz val="11"/>
      <color rgb="FF25272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6" fillId="6" borderId="0" applyNumberFormat="0" applyBorder="0" applyAlignment="0" applyProtection="0"/>
  </cellStyleXfs>
  <cellXfs count="46">
    <xf numFmtId="0" fontId="0" fillId="0" borderId="0" xfId="0"/>
    <xf numFmtId="3" fontId="0" fillId="0" borderId="0" xfId="0" applyNumberFormat="1"/>
    <xf numFmtId="0" fontId="1" fillId="2" borderId="0" xfId="1"/>
    <xf numFmtId="0" fontId="4" fillId="5" borderId="2" xfId="4"/>
    <xf numFmtId="0" fontId="3" fillId="4" borderId="1" xfId="3"/>
    <xf numFmtId="0" fontId="0" fillId="0" borderId="3" xfId="0" applyBorder="1"/>
    <xf numFmtId="0" fontId="0" fillId="0" borderId="4" xfId="0" applyBorder="1"/>
    <xf numFmtId="0" fontId="1" fillId="2" borderId="3" xfId="1" applyBorder="1"/>
    <xf numFmtId="0" fontId="2" fillId="3" borderId="3" xfId="2" applyBorder="1"/>
    <xf numFmtId="3" fontId="0" fillId="0" borderId="4" xfId="0" applyNumberFormat="1" applyBorder="1"/>
    <xf numFmtId="0" fontId="4" fillId="5" borderId="5" xfId="4" applyBorder="1"/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4" borderId="1" xfId="3" applyFont="1"/>
    <xf numFmtId="0" fontId="2" fillId="3" borderId="1" xfId="2" applyBorder="1"/>
    <xf numFmtId="3" fontId="2" fillId="3" borderId="1" xfId="2" applyNumberFormat="1" applyBorder="1"/>
    <xf numFmtId="0" fontId="1" fillId="2" borderId="1" xfId="1" applyBorder="1"/>
    <xf numFmtId="3" fontId="1" fillId="2" borderId="1" xfId="1" applyNumberFormat="1" applyBorder="1"/>
    <xf numFmtId="3" fontId="4" fillId="5" borderId="2" xfId="4" applyNumberFormat="1"/>
    <xf numFmtId="0" fontId="1" fillId="2" borderId="2" xfId="1" applyBorder="1"/>
    <xf numFmtId="3" fontId="1" fillId="2" borderId="2" xfId="1" applyNumberFormat="1" applyBorder="1"/>
    <xf numFmtId="0" fontId="2" fillId="3" borderId="2" xfId="2" applyBorder="1"/>
    <xf numFmtId="0" fontId="6" fillId="6" borderId="1" xfId="5" applyBorder="1"/>
    <xf numFmtId="0" fontId="6" fillId="6" borderId="2" xfId="5" applyBorder="1"/>
    <xf numFmtId="3" fontId="6" fillId="6" borderId="1" xfId="5" applyNumberFormat="1" applyBorder="1"/>
    <xf numFmtId="3" fontId="2" fillId="3" borderId="2" xfId="2" applyNumberFormat="1" applyBorder="1"/>
    <xf numFmtId="3" fontId="6" fillId="6" borderId="2" xfId="5" applyNumberFormat="1" applyBorder="1"/>
    <xf numFmtId="0" fontId="8" fillId="0" borderId="0" xfId="0" applyFont="1" applyAlignment="1">
      <alignment horizontal="left" vertical="center" wrapText="1" indent="1"/>
    </xf>
    <xf numFmtId="0" fontId="12" fillId="0" borderId="0" xfId="0" applyFont="1"/>
    <xf numFmtId="0" fontId="2" fillId="3" borderId="0" xfId="2" applyBorder="1"/>
    <xf numFmtId="0" fontId="1" fillId="2" borderId="0" xfId="1" applyBorder="1"/>
    <xf numFmtId="0" fontId="3" fillId="4" borderId="13" xfId="3" applyBorder="1"/>
    <xf numFmtId="0" fontId="0" fillId="0" borderId="12" xfId="0" applyBorder="1"/>
    <xf numFmtId="0" fontId="2" fillId="3" borderId="12" xfId="2" applyBorder="1"/>
    <xf numFmtId="3" fontId="2" fillId="3" borderId="12" xfId="2" applyNumberFormat="1" applyBorder="1"/>
    <xf numFmtId="0" fontId="3" fillId="4" borderId="14" xfId="3" applyBorder="1"/>
    <xf numFmtId="0" fontId="0" fillId="0" borderId="0" xfId="0" applyAlignment="1">
      <alignment wrapText="1"/>
    </xf>
    <xf numFmtId="4" fontId="2" fillId="3" borderId="0" xfId="2" applyNumberFormat="1" applyBorder="1"/>
    <xf numFmtId="4" fontId="6" fillId="6" borderId="0" xfId="5" applyNumberFormat="1" applyBorder="1"/>
    <xf numFmtId="3" fontId="3" fillId="4" borderId="14" xfId="3" applyNumberFormat="1" applyBorder="1"/>
    <xf numFmtId="0" fontId="1" fillId="2" borderId="14" xfId="1" applyBorder="1"/>
    <xf numFmtId="3" fontId="1" fillId="2" borderId="14" xfId="1" applyNumberFormat="1" applyBorder="1"/>
  </cellXfs>
  <cellStyles count="6">
    <cellStyle name="Bad" xfId="2" builtinId="27"/>
    <cellStyle name="Check Cell" xfId="4" builtinId="23"/>
    <cellStyle name="Good" xfId="1" builtinId="26"/>
    <cellStyle name="Neutral" xfId="5" builtinId="28"/>
    <cellStyle name="Normal" xfId="0" builtinId="0"/>
    <cellStyle name="Output" xfId="3" builtinId="21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72</xdr:row>
      <xdr:rowOff>0</xdr:rowOff>
    </xdr:from>
    <xdr:to>
      <xdr:col>7</xdr:col>
      <xdr:colOff>318583</xdr:colOff>
      <xdr:row>85</xdr:row>
      <xdr:rowOff>13047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20E3CA-CDB0-8354-B9D1-479B995E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0800"/>
          <a:ext cx="7763958" cy="24863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72</xdr:row>
      <xdr:rowOff>180975</xdr:rowOff>
    </xdr:from>
    <xdr:to>
      <xdr:col>5</xdr:col>
      <xdr:colOff>318413</xdr:colOff>
      <xdr:row>83</xdr:row>
      <xdr:rowOff>12969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B30FD4-A5F7-7D4E-9C84-A58BF3861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01775"/>
          <a:ext cx="6544588" cy="1924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28575</xdr:rowOff>
    </xdr:from>
    <xdr:to>
      <xdr:col>6</xdr:col>
      <xdr:colOff>604288</xdr:colOff>
      <xdr:row>94</xdr:row>
      <xdr:rowOff>108253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3A3DF4-A130-DBA3-CA73-F800D8B2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44875"/>
          <a:ext cx="7440063" cy="2172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opLeftCell="A19" workbookViewId="0">
      <selection activeCell="O2" sqref="O2:R72"/>
    </sheetView>
  </sheetViews>
  <sheetFormatPr defaultRowHeight="15" x14ac:dyDescent="0.25"/>
  <cols>
    <col min="15" max="15" width="35.42578125" bestFit="1" customWidth="1"/>
    <col min="16" max="16" width="10.5703125" bestFit="1" customWidth="1"/>
    <col min="17" max="17" width="10.85546875" bestFit="1" customWidth="1"/>
    <col min="18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 x14ac:dyDescent="0.25">
      <c r="E2" t="str">
        <f>IF(AND(B2=B1,A2&gt;A1),C1,"")</f>
        <v/>
      </c>
      <c r="F2" t="str">
        <f t="shared" ref="F2:F9" si="0">IF(AND(B2=B1,A2&gt;A1),D1,"")</f>
        <v/>
      </c>
      <c r="G2" t="str">
        <f t="shared" ref="G2:G65" si="1">IF(E2="","",IF(C2&gt;E2,"Higher High",IF(C2&lt;E2,"Lower High","Flat")))</f>
        <v/>
      </c>
      <c r="H2" t="str">
        <f t="shared" ref="H2:H65" si="2">IF(F2="","",IF(D2&gt;F2,"Higher Low",IF(D2&lt;F2,"Lower Low","Flat")))</f>
        <v/>
      </c>
      <c r="I2" t="str">
        <f t="shared" ref="I2:I65" si="3">IF(AND(G2="Higher High",H2="Higher Low"),"Bullish",IF(AND(G2="Lower High",H2="Lower Low"),"Bearish","Mixed"))</f>
        <v>Mixed</v>
      </c>
      <c r="O2" t="s">
        <v>9</v>
      </c>
      <c r="P2" t="s">
        <v>10</v>
      </c>
      <c r="Q2" t="s">
        <v>11</v>
      </c>
      <c r="R2" t="s">
        <v>12</v>
      </c>
    </row>
    <row r="3" spans="1:18" x14ac:dyDescent="0.25">
      <c r="E3" t="str">
        <f t="shared" ref="E3:E9" si="4">IF(AND(B3=B2,A3&gt;A2),C2,"")</f>
        <v/>
      </c>
      <c r="F3" t="str">
        <f t="shared" si="0"/>
        <v/>
      </c>
      <c r="G3" t="str">
        <f>IF(E3="","",IF(C3&gt;E3,"Higher High",IF(C3&lt;E3,"Lower High","Flat")))</f>
        <v/>
      </c>
      <c r="H3" t="str">
        <f t="shared" si="2"/>
        <v/>
      </c>
      <c r="I3" t="str">
        <f t="shared" si="3"/>
        <v>Mixed</v>
      </c>
      <c r="O3" t="s">
        <v>13</v>
      </c>
    </row>
    <row r="4" spans="1:18" x14ac:dyDescent="0.25">
      <c r="E4" t="str">
        <f t="shared" si="4"/>
        <v/>
      </c>
      <c r="F4" t="str">
        <f t="shared" si="0"/>
        <v/>
      </c>
      <c r="G4" t="str">
        <f t="shared" si="1"/>
        <v/>
      </c>
      <c r="H4" t="str">
        <f t="shared" si="2"/>
        <v/>
      </c>
      <c r="I4" t="str">
        <f t="shared" si="3"/>
        <v>Mixed</v>
      </c>
      <c r="O4" t="s">
        <v>14</v>
      </c>
      <c r="P4">
        <v>4.75</v>
      </c>
      <c r="Q4">
        <v>4.6500000000000004</v>
      </c>
      <c r="R4">
        <v>4.71</v>
      </c>
    </row>
    <row r="5" spans="1:18" x14ac:dyDescent="0.25">
      <c r="E5" t="str">
        <f t="shared" si="4"/>
        <v/>
      </c>
      <c r="F5" t="str">
        <f t="shared" si="0"/>
        <v/>
      </c>
      <c r="G5" t="str">
        <f t="shared" si="1"/>
        <v/>
      </c>
      <c r="H5" t="str">
        <f t="shared" si="2"/>
        <v/>
      </c>
      <c r="I5" t="str">
        <f t="shared" si="3"/>
        <v>Mixed</v>
      </c>
      <c r="O5" t="s">
        <v>15</v>
      </c>
    </row>
    <row r="6" spans="1:18" x14ac:dyDescent="0.25">
      <c r="E6" t="str">
        <f t="shared" si="4"/>
        <v/>
      </c>
      <c r="F6" t="str">
        <f t="shared" si="0"/>
        <v/>
      </c>
      <c r="G6" t="str">
        <f t="shared" si="1"/>
        <v/>
      </c>
      <c r="H6" t="str">
        <f t="shared" si="2"/>
        <v/>
      </c>
      <c r="I6" t="str">
        <f t="shared" si="3"/>
        <v>Mixed</v>
      </c>
      <c r="O6" t="s">
        <v>16</v>
      </c>
      <c r="P6">
        <v>4.1500000000000004</v>
      </c>
      <c r="Q6">
        <v>4.0199999999999996</v>
      </c>
      <c r="R6">
        <v>4.07</v>
      </c>
    </row>
    <row r="7" spans="1:18" x14ac:dyDescent="0.25">
      <c r="E7" t="str">
        <f t="shared" si="4"/>
        <v/>
      </c>
      <c r="F7" t="str">
        <f t="shared" si="0"/>
        <v/>
      </c>
      <c r="G7" t="str">
        <f t="shared" si="1"/>
        <v/>
      </c>
      <c r="H7" t="str">
        <f t="shared" si="2"/>
        <v/>
      </c>
      <c r="I7" t="str">
        <f t="shared" si="3"/>
        <v>Mixed</v>
      </c>
      <c r="O7" t="s">
        <v>17</v>
      </c>
    </row>
    <row r="8" spans="1:18" x14ac:dyDescent="0.25">
      <c r="E8" t="str">
        <f t="shared" si="4"/>
        <v/>
      </c>
      <c r="F8" t="str">
        <f t="shared" si="0"/>
        <v/>
      </c>
      <c r="G8" t="str">
        <f t="shared" si="1"/>
        <v/>
      </c>
      <c r="H8" t="str">
        <f t="shared" si="2"/>
        <v/>
      </c>
      <c r="I8" t="str">
        <f t="shared" si="3"/>
        <v>Mixed</v>
      </c>
      <c r="O8" t="s">
        <v>18</v>
      </c>
      <c r="P8">
        <v>3.62</v>
      </c>
      <c r="Q8">
        <v>3.49</v>
      </c>
      <c r="R8">
        <v>3.52</v>
      </c>
    </row>
    <row r="9" spans="1:18" x14ac:dyDescent="0.25">
      <c r="E9" t="str">
        <f t="shared" si="4"/>
        <v/>
      </c>
      <c r="F9" t="str">
        <f t="shared" si="0"/>
        <v/>
      </c>
      <c r="G9" t="str">
        <f t="shared" si="1"/>
        <v/>
      </c>
      <c r="H9" t="str">
        <f t="shared" si="2"/>
        <v/>
      </c>
      <c r="I9" t="str">
        <f t="shared" si="3"/>
        <v>Mixed</v>
      </c>
      <c r="O9" t="s">
        <v>19</v>
      </c>
    </row>
    <row r="10" spans="1:18" x14ac:dyDescent="0.25">
      <c r="E10" t="str">
        <f>IF(AND(B90=B9,A90&gt;A9),C9,"")</f>
        <v/>
      </c>
      <c r="F10" t="str">
        <f>IF(AND(B90=B9,A90&gt;A9),D9,"")</f>
        <v/>
      </c>
      <c r="G10" t="str">
        <f t="shared" si="1"/>
        <v/>
      </c>
      <c r="H10" t="str">
        <f t="shared" si="2"/>
        <v/>
      </c>
      <c r="I10" t="str">
        <f t="shared" si="3"/>
        <v>Mixed</v>
      </c>
      <c r="O10" t="s">
        <v>20</v>
      </c>
      <c r="P10">
        <v>79.849999999999994</v>
      </c>
      <c r="Q10">
        <v>80.61</v>
      </c>
      <c r="R10">
        <v>80.37</v>
      </c>
    </row>
    <row r="11" spans="1:18" x14ac:dyDescent="0.25">
      <c r="E11" t="str">
        <f>IF(AND(B1010=B10,A1010&gt;A10),C10,"")</f>
        <v/>
      </c>
      <c r="F11" t="str">
        <f>IF(AND(B1010=B10,A1010&gt;A10),D10,"")</f>
        <v/>
      </c>
      <c r="G11" t="str">
        <f t="shared" si="1"/>
        <v/>
      </c>
      <c r="H11" t="str">
        <f t="shared" si="2"/>
        <v/>
      </c>
      <c r="I11" t="str">
        <f t="shared" si="3"/>
        <v>Mixed</v>
      </c>
      <c r="O11" t="s">
        <v>21</v>
      </c>
    </row>
    <row r="12" spans="1:18" x14ac:dyDescent="0.25">
      <c r="E12" t="str">
        <f>IF(AND(B112=B11,A112&gt;A11),C11,"")</f>
        <v/>
      </c>
      <c r="F12" t="str">
        <f>IF(AND(B112=B11,A112&gt;A11),D11,"")</f>
        <v/>
      </c>
      <c r="G12" t="str">
        <f t="shared" si="1"/>
        <v/>
      </c>
      <c r="H12" t="str">
        <f t="shared" si="2"/>
        <v/>
      </c>
      <c r="I12" t="str">
        <f t="shared" si="3"/>
        <v>Mixed</v>
      </c>
      <c r="O12" t="s">
        <v>22</v>
      </c>
      <c r="P12">
        <v>110.1</v>
      </c>
      <c r="Q12">
        <v>111.6</v>
      </c>
      <c r="R12">
        <v>110.9</v>
      </c>
    </row>
    <row r="13" spans="1:18" x14ac:dyDescent="0.25">
      <c r="E13" t="str">
        <f>IF(AND(B123=B12,A123&gt;A12),C12,"")</f>
        <v/>
      </c>
      <c r="F13" t="str">
        <f>IF(AND(B123=B12,A123&gt;A12),D12,"")</f>
        <v/>
      </c>
      <c r="G13" t="str">
        <f t="shared" si="1"/>
        <v/>
      </c>
      <c r="H13" t="str">
        <f t="shared" si="2"/>
        <v/>
      </c>
      <c r="I13" t="str">
        <f t="shared" si="3"/>
        <v>Mixed</v>
      </c>
      <c r="O13" t="s">
        <v>23</v>
      </c>
    </row>
    <row r="14" spans="1:18" x14ac:dyDescent="0.25">
      <c r="E14" t="str">
        <f>IF(AND(B134=B13,A134&gt;A13),C13,"")</f>
        <v/>
      </c>
      <c r="F14" t="str">
        <f>IF(AND(B134=B13,A134&gt;A13),D13,"")</f>
        <v/>
      </c>
      <c r="G14" t="str">
        <f t="shared" si="1"/>
        <v/>
      </c>
      <c r="H14" t="str">
        <f t="shared" si="2"/>
        <v/>
      </c>
      <c r="I14" t="str">
        <f t="shared" si="3"/>
        <v>Mixed</v>
      </c>
      <c r="O14" t="s">
        <v>24</v>
      </c>
      <c r="P14" s="1">
        <v>6476</v>
      </c>
      <c r="Q14" s="1">
        <v>6713</v>
      </c>
      <c r="R14" s="1">
        <v>6602</v>
      </c>
    </row>
    <row r="15" spans="1:18" x14ac:dyDescent="0.25">
      <c r="E15" t="str">
        <f>IF(AND(B145=B14,A145&gt;A14),C14,"")</f>
        <v/>
      </c>
      <c r="F15" t="str">
        <f>IF(AND(B145=B14,A145&gt;A14),D14,"")</f>
        <v/>
      </c>
      <c r="G15" t="str">
        <f t="shared" si="1"/>
        <v/>
      </c>
      <c r="H15" t="str">
        <f t="shared" si="2"/>
        <v/>
      </c>
      <c r="I15" t="str">
        <f t="shared" si="3"/>
        <v>Mixed</v>
      </c>
      <c r="O15" t="s">
        <v>25</v>
      </c>
    </row>
    <row r="16" spans="1:18" x14ac:dyDescent="0.25">
      <c r="E16" t="str">
        <f>IF(AND(B156=B15,A156&gt;A15),C15,"")</f>
        <v/>
      </c>
      <c r="F16" t="str">
        <f>IF(AND(B156=B15,A156&gt;A15),D15,"")</f>
        <v/>
      </c>
      <c r="G16" t="str">
        <f t="shared" si="1"/>
        <v/>
      </c>
      <c r="H16" t="str">
        <f t="shared" si="2"/>
        <v/>
      </c>
      <c r="I16" t="str">
        <f t="shared" si="3"/>
        <v>Mixed</v>
      </c>
      <c r="O16" t="s">
        <v>26</v>
      </c>
      <c r="P16" s="1">
        <v>21830</v>
      </c>
      <c r="Q16" s="1">
        <v>22906</v>
      </c>
      <c r="R16" s="1">
        <v>22273</v>
      </c>
    </row>
    <row r="17" spans="5:18" x14ac:dyDescent="0.25">
      <c r="E17" t="str">
        <f>IF(AND(B167=B16,A167&gt;A16),C16,"")</f>
        <v/>
      </c>
      <c r="F17" t="str">
        <f>IF(AND(B167=B16,A167&gt;A16),D16,"")</f>
        <v/>
      </c>
      <c r="G17" t="str">
        <f t="shared" si="1"/>
        <v/>
      </c>
      <c r="H17" t="str">
        <f t="shared" si="2"/>
        <v/>
      </c>
      <c r="I17" t="str">
        <f t="shared" si="3"/>
        <v>Mixed</v>
      </c>
      <c r="O17" t="s">
        <v>27</v>
      </c>
    </row>
    <row r="18" spans="5:18" x14ac:dyDescent="0.25">
      <c r="E18" t="str">
        <f>IF(AND(B178=B17,A178&gt;A17),C17,"")</f>
        <v/>
      </c>
      <c r="F18" t="str">
        <f>IF(AND(B178=B17,A178&gt;A17),D17,"")</f>
        <v/>
      </c>
      <c r="G18" t="str">
        <f t="shared" si="1"/>
        <v/>
      </c>
      <c r="H18" t="str">
        <f t="shared" si="2"/>
        <v/>
      </c>
      <c r="I18" t="str">
        <f t="shared" si="3"/>
        <v>Mixed</v>
      </c>
      <c r="O18" t="s">
        <v>28</v>
      </c>
      <c r="P18" s="1">
        <v>2278</v>
      </c>
      <c r="Q18" s="1">
        <v>2412</v>
      </c>
      <c r="R18" s="1">
        <v>2369</v>
      </c>
    </row>
    <row r="19" spans="5:18" x14ac:dyDescent="0.25">
      <c r="E19" t="str">
        <f>IF(AND(B189=B18,A189&gt;A18),C18,"")</f>
        <v/>
      </c>
      <c r="F19" t="str">
        <f>IF(AND(B189=B18,A189&gt;A18),D18,"")</f>
        <v/>
      </c>
      <c r="G19" t="str">
        <f t="shared" si="1"/>
        <v/>
      </c>
      <c r="H19" t="str">
        <f t="shared" si="2"/>
        <v/>
      </c>
      <c r="I19" t="str">
        <f t="shared" si="3"/>
        <v>Mixed</v>
      </c>
      <c r="O19" t="s">
        <v>29</v>
      </c>
    </row>
    <row r="20" spans="5:18" x14ac:dyDescent="0.25">
      <c r="E20" t="str">
        <f>IF(AND(B20=B19,A20&gt;A19),C19,"")</f>
        <v/>
      </c>
      <c r="F20" t="str">
        <f>IF(AND(B20=B19,A20&gt;A19),D19,"")</f>
        <v/>
      </c>
      <c r="G20" t="str">
        <f t="shared" si="1"/>
        <v/>
      </c>
      <c r="H20" t="str">
        <f t="shared" si="2"/>
        <v/>
      </c>
      <c r="I20" t="str">
        <f t="shared" si="3"/>
        <v>Mixed</v>
      </c>
      <c r="O20" t="s">
        <v>30</v>
      </c>
      <c r="P20">
        <v>267</v>
      </c>
      <c r="Q20">
        <v>286</v>
      </c>
      <c r="R20">
        <v>273</v>
      </c>
    </row>
    <row r="21" spans="5:18" x14ac:dyDescent="0.25">
      <c r="E21" t="str">
        <f>IF(AND(B220=B20,A220&gt;A20),C20,"")</f>
        <v/>
      </c>
      <c r="F21" t="str">
        <f>IF(AND(B220=B20,A220&gt;A20),D20,"")</f>
        <v/>
      </c>
      <c r="G21" t="str">
        <f t="shared" si="1"/>
        <v/>
      </c>
      <c r="H21" t="str">
        <f t="shared" si="2"/>
        <v/>
      </c>
      <c r="I21" t="str">
        <f t="shared" si="3"/>
        <v>Mixed</v>
      </c>
      <c r="O21" t="s">
        <v>31</v>
      </c>
    </row>
    <row r="22" spans="5:18" x14ac:dyDescent="0.25">
      <c r="E22" t="str">
        <f t="shared" ref="E22:E30" si="5">IF(AND(B22=B21,A22&gt;A21),C21,"")</f>
        <v/>
      </c>
      <c r="F22" t="str">
        <f t="shared" ref="F22:F30" si="6">IF(AND(B22=B21,A22&gt;A21),D21,"")</f>
        <v/>
      </c>
      <c r="G22" t="str">
        <f t="shared" si="1"/>
        <v/>
      </c>
      <c r="H22" t="str">
        <f t="shared" si="2"/>
        <v/>
      </c>
      <c r="I22" t="str">
        <f t="shared" si="3"/>
        <v>Mixed</v>
      </c>
      <c r="O22" t="s">
        <v>32</v>
      </c>
      <c r="P22">
        <v>151</v>
      </c>
      <c r="Q22">
        <v>156</v>
      </c>
      <c r="R22">
        <v>154.61000000000001</v>
      </c>
    </row>
    <row r="23" spans="5:18" x14ac:dyDescent="0.25">
      <c r="E23" t="str">
        <f t="shared" si="5"/>
        <v/>
      </c>
      <c r="F23" t="str">
        <f t="shared" si="6"/>
        <v/>
      </c>
      <c r="G23" t="str">
        <f t="shared" si="1"/>
        <v/>
      </c>
      <c r="H23" t="str">
        <f t="shared" si="2"/>
        <v/>
      </c>
      <c r="I23" t="str">
        <f t="shared" si="3"/>
        <v>Mixed</v>
      </c>
      <c r="O23" t="s">
        <v>33</v>
      </c>
    </row>
    <row r="24" spans="5:18" x14ac:dyDescent="0.25">
      <c r="E24" t="str">
        <f t="shared" si="5"/>
        <v/>
      </c>
      <c r="F24" t="str">
        <f t="shared" si="6"/>
        <v/>
      </c>
      <c r="G24" t="str">
        <f t="shared" si="1"/>
        <v/>
      </c>
      <c r="H24" t="str">
        <f t="shared" si="2"/>
        <v/>
      </c>
      <c r="I24" t="str">
        <f t="shared" si="3"/>
        <v>Mixed</v>
      </c>
      <c r="O24" t="s">
        <v>34</v>
      </c>
      <c r="P24" s="1">
        <v>3806</v>
      </c>
      <c r="Q24" s="1">
        <v>3961</v>
      </c>
      <c r="R24" s="1">
        <v>3836</v>
      </c>
    </row>
    <row r="25" spans="5:18" x14ac:dyDescent="0.25">
      <c r="E25" t="str">
        <f t="shared" si="5"/>
        <v/>
      </c>
      <c r="F25" t="str">
        <f t="shared" si="6"/>
        <v/>
      </c>
      <c r="G25" t="str">
        <f t="shared" si="1"/>
        <v/>
      </c>
      <c r="H25" t="str">
        <f t="shared" si="2"/>
        <v/>
      </c>
      <c r="I25" t="str">
        <f t="shared" si="3"/>
        <v>Mixed</v>
      </c>
      <c r="O25" t="s">
        <v>35</v>
      </c>
    </row>
    <row r="26" spans="5:18" x14ac:dyDescent="0.25">
      <c r="E26" t="str">
        <f t="shared" si="5"/>
        <v/>
      </c>
      <c r="F26" t="str">
        <f t="shared" si="6"/>
        <v/>
      </c>
      <c r="G26" t="str">
        <f t="shared" si="1"/>
        <v/>
      </c>
      <c r="H26" t="str">
        <f t="shared" si="2"/>
        <v/>
      </c>
      <c r="I26" t="str">
        <f t="shared" si="3"/>
        <v>Mixed</v>
      </c>
      <c r="O26" t="s">
        <v>36</v>
      </c>
      <c r="P26" s="1">
        <v>48218</v>
      </c>
      <c r="Q26" s="1">
        <v>51210</v>
      </c>
      <c r="R26" s="1">
        <v>48625</v>
      </c>
    </row>
    <row r="27" spans="5:18" x14ac:dyDescent="0.25">
      <c r="E27" t="str">
        <f t="shared" si="5"/>
        <v/>
      </c>
      <c r="F27" t="str">
        <f t="shared" si="6"/>
        <v/>
      </c>
      <c r="G27" t="str">
        <f t="shared" si="1"/>
        <v/>
      </c>
      <c r="H27" t="str">
        <f t="shared" si="2"/>
        <v/>
      </c>
      <c r="I27" t="str">
        <f t="shared" si="3"/>
        <v>Mixed</v>
      </c>
      <c r="O27" t="s">
        <v>37</v>
      </c>
    </row>
    <row r="28" spans="5:18" x14ac:dyDescent="0.25">
      <c r="E28" t="str">
        <f t="shared" si="5"/>
        <v/>
      </c>
      <c r="F28" t="str">
        <f t="shared" si="6"/>
        <v/>
      </c>
      <c r="G28" t="str">
        <f t="shared" si="1"/>
        <v/>
      </c>
      <c r="H28" t="str">
        <f t="shared" si="2"/>
        <v/>
      </c>
      <c r="I28" t="str">
        <f t="shared" si="3"/>
        <v>Mixed</v>
      </c>
      <c r="O28" t="s">
        <v>38</v>
      </c>
      <c r="P28" s="1">
        <v>22708</v>
      </c>
      <c r="Q28" s="1">
        <v>23815</v>
      </c>
      <c r="R28" s="1">
        <v>23091</v>
      </c>
    </row>
    <row r="29" spans="5:18" x14ac:dyDescent="0.25">
      <c r="E29" t="str">
        <f t="shared" si="5"/>
        <v/>
      </c>
      <c r="F29" t="str">
        <f t="shared" si="6"/>
        <v/>
      </c>
      <c r="G29" t="str">
        <f t="shared" si="1"/>
        <v/>
      </c>
      <c r="H29" t="str">
        <f t="shared" si="2"/>
        <v/>
      </c>
      <c r="I29" t="str">
        <f t="shared" si="3"/>
        <v>Mixed</v>
      </c>
      <c r="O29" t="s">
        <v>39</v>
      </c>
    </row>
    <row r="30" spans="5:18" x14ac:dyDescent="0.25">
      <c r="E30" t="str">
        <f t="shared" si="5"/>
        <v/>
      </c>
      <c r="F30" t="str">
        <f t="shared" si="6"/>
        <v/>
      </c>
      <c r="G30" t="str">
        <f t="shared" si="1"/>
        <v/>
      </c>
      <c r="H30" t="str">
        <f t="shared" si="2"/>
        <v/>
      </c>
      <c r="I30" t="str">
        <f t="shared" si="3"/>
        <v>Mixed</v>
      </c>
      <c r="O30" t="s">
        <v>40</v>
      </c>
      <c r="P30">
        <v>19.87</v>
      </c>
      <c r="Q30">
        <v>27.97</v>
      </c>
      <c r="R30">
        <v>23.43</v>
      </c>
    </row>
    <row r="31" spans="5:18" x14ac:dyDescent="0.25">
      <c r="E31" t="str">
        <f>IF(AND(B330=B30,A330&gt;A30),C30,"")</f>
        <v/>
      </c>
      <c r="F31" t="str">
        <f>IF(AND(B330=B30,A330&gt;A30),D30,"")</f>
        <v/>
      </c>
      <c r="G31" t="str">
        <f t="shared" si="1"/>
        <v/>
      </c>
      <c r="H31" t="str">
        <f t="shared" si="2"/>
        <v/>
      </c>
      <c r="I31" t="str">
        <f t="shared" si="3"/>
        <v>Mixed</v>
      </c>
      <c r="O31" t="s">
        <v>41</v>
      </c>
    </row>
    <row r="32" spans="5:18" x14ac:dyDescent="0.25">
      <c r="E32" t="str">
        <f t="shared" ref="E32:E40" si="7">IF(AND(B32=B31,A32&gt;A31),C31,"")</f>
        <v/>
      </c>
      <c r="F32" t="str">
        <f t="shared" ref="F32:F40" si="8">IF(AND(B32=B31,A32&gt;A31),D31,"")</f>
        <v/>
      </c>
      <c r="G32" t="str">
        <f t="shared" si="1"/>
        <v/>
      </c>
      <c r="H32" t="str">
        <f t="shared" si="2"/>
        <v/>
      </c>
      <c r="I32" t="str">
        <f t="shared" si="3"/>
        <v>Mixed</v>
      </c>
      <c r="O32" t="s">
        <v>42</v>
      </c>
      <c r="P32">
        <v>99.46</v>
      </c>
      <c r="Q32">
        <v>100.57</v>
      </c>
      <c r="R32">
        <v>100.07</v>
      </c>
    </row>
    <row r="33" spans="5:18" x14ac:dyDescent="0.25">
      <c r="E33" t="str">
        <f t="shared" si="7"/>
        <v/>
      </c>
      <c r="F33" t="str">
        <f t="shared" si="8"/>
        <v/>
      </c>
      <c r="G33" t="str">
        <f t="shared" si="1"/>
        <v/>
      </c>
      <c r="H33" t="str">
        <f t="shared" si="2"/>
        <v/>
      </c>
      <c r="I33" t="str">
        <f t="shared" si="3"/>
        <v>Mixed</v>
      </c>
      <c r="O33" t="s">
        <v>43</v>
      </c>
    </row>
    <row r="34" spans="5:18" x14ac:dyDescent="0.25">
      <c r="E34" t="str">
        <f t="shared" si="7"/>
        <v/>
      </c>
      <c r="F34" t="str">
        <f t="shared" si="8"/>
        <v/>
      </c>
      <c r="G34" t="str">
        <f t="shared" si="1"/>
        <v/>
      </c>
      <c r="H34" t="str">
        <f t="shared" si="2"/>
        <v/>
      </c>
      <c r="I34" t="str">
        <f t="shared" si="3"/>
        <v>Mixed</v>
      </c>
      <c r="O34" t="s">
        <v>44</v>
      </c>
      <c r="P34">
        <v>1.1479999999999999</v>
      </c>
      <c r="Q34">
        <v>1.1599999999999999</v>
      </c>
      <c r="R34">
        <v>1.1539999999999999</v>
      </c>
    </row>
    <row r="35" spans="5:18" x14ac:dyDescent="0.25">
      <c r="E35" t="str">
        <f t="shared" si="7"/>
        <v/>
      </c>
      <c r="F35" t="str">
        <f t="shared" si="8"/>
        <v/>
      </c>
      <c r="G35" t="str">
        <f t="shared" si="1"/>
        <v/>
      </c>
      <c r="H35" t="str">
        <f t="shared" si="2"/>
        <v/>
      </c>
      <c r="I35" t="str">
        <f t="shared" si="3"/>
        <v>Mixed</v>
      </c>
      <c r="O35" t="s">
        <v>45</v>
      </c>
    </row>
    <row r="36" spans="5:18" x14ac:dyDescent="0.25">
      <c r="E36" t="str">
        <f t="shared" si="7"/>
        <v/>
      </c>
      <c r="F36" t="str">
        <f t="shared" si="8"/>
        <v/>
      </c>
      <c r="G36" t="str">
        <f t="shared" si="1"/>
        <v/>
      </c>
      <c r="H36" t="str">
        <f t="shared" si="2"/>
        <v/>
      </c>
      <c r="I36" t="str">
        <f t="shared" si="3"/>
        <v>Mixed</v>
      </c>
      <c r="O36" t="s">
        <v>46</v>
      </c>
      <c r="P36">
        <v>154.18</v>
      </c>
      <c r="Q36">
        <v>157.97</v>
      </c>
      <c r="R36">
        <v>156.82</v>
      </c>
    </row>
    <row r="37" spans="5:18" x14ac:dyDescent="0.25">
      <c r="E37" t="str">
        <f t="shared" si="7"/>
        <v/>
      </c>
      <c r="F37" t="str">
        <f t="shared" si="8"/>
        <v/>
      </c>
      <c r="G37" t="str">
        <f t="shared" si="1"/>
        <v/>
      </c>
      <c r="H37" t="str">
        <f t="shared" si="2"/>
        <v/>
      </c>
      <c r="I37" t="str">
        <f t="shared" si="3"/>
        <v>Mixed</v>
      </c>
      <c r="O37" t="s">
        <v>47</v>
      </c>
    </row>
    <row r="38" spans="5:18" x14ac:dyDescent="0.25">
      <c r="E38" t="str">
        <f t="shared" si="7"/>
        <v/>
      </c>
      <c r="F38" t="str">
        <f t="shared" si="8"/>
        <v/>
      </c>
      <c r="G38" t="str">
        <f t="shared" si="1"/>
        <v/>
      </c>
      <c r="H38" t="str">
        <f t="shared" si="2"/>
        <v/>
      </c>
      <c r="I38" t="str">
        <f t="shared" si="3"/>
        <v>Mixed</v>
      </c>
      <c r="O38" t="s">
        <v>48</v>
      </c>
      <c r="P38">
        <v>1.3029999999999999</v>
      </c>
      <c r="Q38">
        <v>1.319</v>
      </c>
      <c r="R38">
        <v>1.3109999999999999</v>
      </c>
    </row>
    <row r="39" spans="5:18" x14ac:dyDescent="0.25">
      <c r="E39" t="str">
        <f t="shared" si="7"/>
        <v/>
      </c>
      <c r="F39" t="str">
        <f t="shared" si="8"/>
        <v/>
      </c>
      <c r="G39" t="str">
        <f t="shared" si="1"/>
        <v/>
      </c>
      <c r="H39" t="str">
        <f t="shared" si="2"/>
        <v/>
      </c>
      <c r="I39" t="str">
        <f t="shared" si="3"/>
        <v>Mixed</v>
      </c>
      <c r="O39" t="s">
        <v>49</v>
      </c>
    </row>
    <row r="40" spans="5:18" x14ac:dyDescent="0.25">
      <c r="E40" t="str">
        <f t="shared" si="7"/>
        <v/>
      </c>
      <c r="F40" t="str">
        <f t="shared" si="8"/>
        <v/>
      </c>
      <c r="G40" t="str">
        <f t="shared" si="1"/>
        <v/>
      </c>
      <c r="H40" t="str">
        <f t="shared" si="2"/>
        <v/>
      </c>
      <c r="I40" t="str">
        <f t="shared" si="3"/>
        <v>Mixed</v>
      </c>
      <c r="O40" t="s">
        <v>50</v>
      </c>
      <c r="P40">
        <v>0.70599999999999996</v>
      </c>
      <c r="Q40">
        <v>0.71699999999999997</v>
      </c>
      <c r="R40">
        <v>0.70799999999999996</v>
      </c>
    </row>
    <row r="41" spans="5:18" x14ac:dyDescent="0.25">
      <c r="E41" t="str">
        <f>IF(AND(B440=B40,A440&gt;A40),C40,"")</f>
        <v/>
      </c>
      <c r="F41" t="str">
        <f>IF(AND(B440=B40,A440&gt;A40),D40,"")</f>
        <v/>
      </c>
      <c r="G41" t="str">
        <f t="shared" si="1"/>
        <v/>
      </c>
      <c r="H41" t="str">
        <f t="shared" si="2"/>
        <v/>
      </c>
      <c r="I41" t="str">
        <f t="shared" si="3"/>
        <v>Mixed</v>
      </c>
      <c r="O41" t="s">
        <v>51</v>
      </c>
    </row>
    <row r="42" spans="5:18" x14ac:dyDescent="0.25">
      <c r="E42" t="str">
        <f t="shared" ref="E42:E50" si="9">IF(AND(B42=B41,A42&gt;A41),C41,"")</f>
        <v/>
      </c>
      <c r="F42" t="str">
        <f t="shared" ref="F42:F50" si="10">IF(AND(B42=B41,A42&gt;A41),D41,"")</f>
        <v/>
      </c>
      <c r="G42" t="str">
        <f t="shared" si="1"/>
        <v/>
      </c>
      <c r="H42" t="str">
        <f t="shared" si="2"/>
        <v/>
      </c>
      <c r="I42" t="str">
        <f t="shared" si="3"/>
        <v>Mixed</v>
      </c>
      <c r="O42" t="s">
        <v>52</v>
      </c>
      <c r="P42">
        <v>57.01</v>
      </c>
      <c r="Q42">
        <v>59.96</v>
      </c>
      <c r="R42">
        <v>57.98</v>
      </c>
    </row>
    <row r="43" spans="5:18" x14ac:dyDescent="0.25">
      <c r="E43" t="str">
        <f t="shared" si="9"/>
        <v/>
      </c>
      <c r="F43" t="str">
        <f t="shared" si="10"/>
        <v/>
      </c>
      <c r="G43" t="str">
        <f t="shared" si="1"/>
        <v/>
      </c>
      <c r="H43" t="str">
        <f t="shared" si="2"/>
        <v/>
      </c>
      <c r="I43" t="str">
        <f t="shared" si="3"/>
        <v>Mixed</v>
      </c>
      <c r="O43" t="s">
        <v>53</v>
      </c>
    </row>
    <row r="44" spans="5:18" x14ac:dyDescent="0.25">
      <c r="E44" t="str">
        <f t="shared" si="9"/>
        <v/>
      </c>
      <c r="F44" t="str">
        <f t="shared" si="10"/>
        <v/>
      </c>
      <c r="G44" t="str">
        <f t="shared" si="1"/>
        <v/>
      </c>
      <c r="H44" t="str">
        <f t="shared" si="2"/>
        <v/>
      </c>
      <c r="I44" t="str">
        <f t="shared" si="3"/>
        <v>Mixed</v>
      </c>
      <c r="O44" t="s">
        <v>54</v>
      </c>
      <c r="P44">
        <v>61</v>
      </c>
      <c r="Q44">
        <v>64.150000000000006</v>
      </c>
      <c r="R44">
        <v>62.47</v>
      </c>
    </row>
    <row r="45" spans="5:18" x14ac:dyDescent="0.25">
      <c r="E45" t="str">
        <f t="shared" si="9"/>
        <v/>
      </c>
      <c r="F45" t="str">
        <f t="shared" si="10"/>
        <v/>
      </c>
      <c r="G45" t="str">
        <f t="shared" si="1"/>
        <v/>
      </c>
      <c r="H45" t="str">
        <f t="shared" si="2"/>
        <v/>
      </c>
      <c r="I45" t="str">
        <f t="shared" si="3"/>
        <v>Mixed</v>
      </c>
      <c r="O45" t="s">
        <v>55</v>
      </c>
    </row>
    <row r="46" spans="5:18" x14ac:dyDescent="0.25">
      <c r="E46" t="str">
        <f t="shared" si="9"/>
        <v/>
      </c>
      <c r="F46" t="str">
        <f t="shared" si="10"/>
        <v/>
      </c>
      <c r="G46" t="str">
        <f t="shared" si="1"/>
        <v/>
      </c>
      <c r="H46" t="str">
        <f t="shared" si="2"/>
        <v/>
      </c>
      <c r="I46" t="str">
        <f t="shared" si="3"/>
        <v>Mixed</v>
      </c>
      <c r="O46" t="s">
        <v>56</v>
      </c>
      <c r="P46">
        <v>4.28</v>
      </c>
      <c r="Q46">
        <v>4.75</v>
      </c>
      <c r="R46">
        <v>4.57</v>
      </c>
    </row>
    <row r="47" spans="5:18" x14ac:dyDescent="0.25">
      <c r="E47" t="str">
        <f t="shared" si="9"/>
        <v/>
      </c>
      <c r="F47" t="str">
        <f t="shared" si="10"/>
        <v/>
      </c>
      <c r="G47" t="str">
        <f t="shared" si="1"/>
        <v/>
      </c>
      <c r="H47" t="str">
        <f t="shared" si="2"/>
        <v/>
      </c>
      <c r="I47" t="str">
        <f t="shared" si="3"/>
        <v>Mixed</v>
      </c>
      <c r="O47" t="s">
        <v>57</v>
      </c>
    </row>
    <row r="48" spans="5:18" x14ac:dyDescent="0.25">
      <c r="E48" t="str">
        <f t="shared" si="9"/>
        <v/>
      </c>
      <c r="F48" t="str">
        <f t="shared" si="10"/>
        <v/>
      </c>
      <c r="G48" t="str">
        <f t="shared" si="1"/>
        <v/>
      </c>
      <c r="H48" t="str">
        <f t="shared" si="2"/>
        <v/>
      </c>
      <c r="I48" t="str">
        <f t="shared" si="3"/>
        <v>Mixed</v>
      </c>
      <c r="O48" t="s">
        <v>58</v>
      </c>
      <c r="P48" s="1">
        <v>4001</v>
      </c>
      <c r="Q48" s="1">
        <v>4208</v>
      </c>
      <c r="R48" s="1">
        <v>4071</v>
      </c>
    </row>
    <row r="49" spans="5:18" x14ac:dyDescent="0.25">
      <c r="E49" t="str">
        <f t="shared" si="9"/>
        <v/>
      </c>
      <c r="F49" t="str">
        <f t="shared" si="10"/>
        <v/>
      </c>
      <c r="G49" t="str">
        <f t="shared" si="1"/>
        <v/>
      </c>
      <c r="H49" t="str">
        <f t="shared" si="2"/>
        <v/>
      </c>
      <c r="I49" t="str">
        <f t="shared" si="3"/>
        <v>Mixed</v>
      </c>
      <c r="O49" t="s">
        <v>59</v>
      </c>
    </row>
    <row r="50" spans="5:18" x14ac:dyDescent="0.25">
      <c r="E50" t="str">
        <f t="shared" si="9"/>
        <v/>
      </c>
      <c r="F50" t="str">
        <f t="shared" si="10"/>
        <v/>
      </c>
      <c r="G50" t="str">
        <f t="shared" si="1"/>
        <v/>
      </c>
      <c r="H50" t="str">
        <f t="shared" si="2"/>
        <v/>
      </c>
      <c r="I50" t="str">
        <f t="shared" si="3"/>
        <v>Mixed</v>
      </c>
      <c r="O50" t="s">
        <v>60</v>
      </c>
      <c r="P50">
        <v>4.8899999999999997</v>
      </c>
      <c r="Q50">
        <v>5.14</v>
      </c>
      <c r="R50">
        <v>4.99</v>
      </c>
    </row>
    <row r="51" spans="5:18" x14ac:dyDescent="0.25">
      <c r="E51" t="str">
        <f>IF(AND(B550=B50,A550&gt;A50),C50,"")</f>
        <v/>
      </c>
      <c r="F51" t="str">
        <f>IF(AND(B550=B50,A550&gt;A50),D50,"")</f>
        <v/>
      </c>
      <c r="G51" t="str">
        <f t="shared" si="1"/>
        <v/>
      </c>
      <c r="H51" t="str">
        <f t="shared" si="2"/>
        <v/>
      </c>
      <c r="I51" t="str">
        <f t="shared" si="3"/>
        <v>Mixed</v>
      </c>
      <c r="O51" t="s">
        <v>61</v>
      </c>
    </row>
    <row r="52" spans="5:18" x14ac:dyDescent="0.25">
      <c r="E52" t="str">
        <f t="shared" ref="E52:E60" si="11">IF(AND(B52=B51,A52&gt;A51),C51,"")</f>
        <v/>
      </c>
      <c r="F52" t="str">
        <f t="shared" ref="F52:F60" si="12">IF(AND(B52=B51,A52&gt;A51),D51,"")</f>
        <v/>
      </c>
      <c r="G52" t="str">
        <f t="shared" si="1"/>
        <v/>
      </c>
      <c r="H52" t="str">
        <f t="shared" si="2"/>
        <v/>
      </c>
      <c r="I52" t="str">
        <f t="shared" si="3"/>
        <v>Mixed</v>
      </c>
      <c r="O52" t="s">
        <v>62</v>
      </c>
      <c r="P52">
        <v>49</v>
      </c>
      <c r="Q52">
        <v>53.29</v>
      </c>
      <c r="R52">
        <v>49.97</v>
      </c>
    </row>
    <row r="53" spans="5:18" x14ac:dyDescent="0.25">
      <c r="E53" t="str">
        <f t="shared" si="11"/>
        <v/>
      </c>
      <c r="F53" t="str">
        <f t="shared" si="12"/>
        <v/>
      </c>
      <c r="G53" t="str">
        <f t="shared" si="1"/>
        <v/>
      </c>
      <c r="H53" t="str">
        <f t="shared" si="2"/>
        <v/>
      </c>
      <c r="I53" t="str">
        <f t="shared" si="3"/>
        <v>Mixed</v>
      </c>
      <c r="O53" t="s">
        <v>63</v>
      </c>
    </row>
    <row r="54" spans="5:18" x14ac:dyDescent="0.25">
      <c r="E54" t="str">
        <f t="shared" si="11"/>
        <v/>
      </c>
      <c r="F54" t="str">
        <f t="shared" si="12"/>
        <v/>
      </c>
      <c r="G54" t="str">
        <f t="shared" si="1"/>
        <v/>
      </c>
      <c r="H54" t="str">
        <f t="shared" si="2"/>
        <v/>
      </c>
      <c r="I54" t="str">
        <f t="shared" si="3"/>
        <v>Mixed</v>
      </c>
      <c r="O54" t="s">
        <v>64</v>
      </c>
      <c r="P54">
        <v>466</v>
      </c>
      <c r="Q54">
        <v>496</v>
      </c>
      <c r="R54">
        <v>472</v>
      </c>
    </row>
    <row r="55" spans="5:18" x14ac:dyDescent="0.25">
      <c r="E55" t="str">
        <f t="shared" si="11"/>
        <v/>
      </c>
      <c r="F55" t="str">
        <f t="shared" si="12"/>
        <v/>
      </c>
      <c r="G55" t="str">
        <f t="shared" si="1"/>
        <v/>
      </c>
      <c r="H55" t="str">
        <f t="shared" si="2"/>
        <v/>
      </c>
      <c r="I55" t="str">
        <f t="shared" si="3"/>
        <v>Mixed</v>
      </c>
      <c r="O55" t="s">
        <v>65</v>
      </c>
    </row>
    <row r="56" spans="5:18" x14ac:dyDescent="0.25">
      <c r="E56" t="str">
        <f t="shared" si="11"/>
        <v/>
      </c>
      <c r="F56" t="str">
        <f t="shared" si="12"/>
        <v/>
      </c>
      <c r="G56" t="str">
        <f t="shared" si="1"/>
        <v/>
      </c>
      <c r="H56" t="str">
        <f t="shared" si="2"/>
        <v/>
      </c>
      <c r="I56" t="str">
        <f t="shared" si="3"/>
        <v>Mixed</v>
      </c>
      <c r="O56" t="s">
        <v>66</v>
      </c>
      <c r="P56">
        <v>265</v>
      </c>
      <c r="Q56">
        <v>279</v>
      </c>
      <c r="R56">
        <v>271</v>
      </c>
    </row>
    <row r="57" spans="5:18" x14ac:dyDescent="0.25">
      <c r="E57" t="str">
        <f t="shared" si="11"/>
        <v/>
      </c>
      <c r="F57" t="str">
        <f t="shared" si="12"/>
        <v/>
      </c>
      <c r="G57" t="str">
        <f t="shared" si="1"/>
        <v/>
      </c>
      <c r="H57" t="str">
        <f t="shared" si="2"/>
        <v/>
      </c>
      <c r="I57" t="str">
        <f t="shared" si="3"/>
        <v>Mixed</v>
      </c>
      <c r="O57" t="s">
        <v>67</v>
      </c>
    </row>
    <row r="58" spans="5:18" x14ac:dyDescent="0.25">
      <c r="E58" t="str">
        <f t="shared" si="11"/>
        <v/>
      </c>
      <c r="F58" t="str">
        <f t="shared" si="12"/>
        <v/>
      </c>
      <c r="G58" t="str">
        <f t="shared" si="1"/>
        <v/>
      </c>
      <c r="H58" t="str">
        <f t="shared" si="2"/>
        <v/>
      </c>
      <c r="I58" t="str">
        <f t="shared" si="3"/>
        <v>Mixed</v>
      </c>
      <c r="O58" t="s">
        <v>68</v>
      </c>
      <c r="P58">
        <v>209</v>
      </c>
      <c r="Q58">
        <v>231</v>
      </c>
      <c r="R58">
        <v>221</v>
      </c>
    </row>
    <row r="59" spans="5:18" x14ac:dyDescent="0.25">
      <c r="E59" t="str">
        <f t="shared" si="11"/>
        <v/>
      </c>
      <c r="F59" t="str">
        <f t="shared" si="12"/>
        <v/>
      </c>
      <c r="G59" t="str">
        <f t="shared" si="1"/>
        <v/>
      </c>
      <c r="H59" t="str">
        <f t="shared" si="2"/>
        <v/>
      </c>
      <c r="I59" t="str">
        <f t="shared" si="3"/>
        <v>Mixed</v>
      </c>
      <c r="O59" t="s">
        <v>69</v>
      </c>
    </row>
    <row r="60" spans="5:18" x14ac:dyDescent="0.25">
      <c r="E60" t="str">
        <f t="shared" si="11"/>
        <v/>
      </c>
      <c r="F60" t="str">
        <f t="shared" si="12"/>
        <v/>
      </c>
      <c r="G60" t="str">
        <f t="shared" si="1"/>
        <v/>
      </c>
      <c r="H60" t="str">
        <f t="shared" si="2"/>
        <v/>
      </c>
      <c r="I60" t="str">
        <f t="shared" si="3"/>
        <v>Mixed</v>
      </c>
      <c r="O60" t="s">
        <v>70</v>
      </c>
      <c r="P60">
        <v>579</v>
      </c>
      <c r="Q60">
        <v>624</v>
      </c>
      <c r="R60">
        <v>594</v>
      </c>
    </row>
    <row r="61" spans="5:18" x14ac:dyDescent="0.25">
      <c r="E61" t="str">
        <f>IF(AND(B660=B60,A660&gt;A60),C60,"")</f>
        <v/>
      </c>
      <c r="F61" t="str">
        <f>IF(AND(B660=B60,A660&gt;A60),D60,"")</f>
        <v/>
      </c>
      <c r="G61" t="str">
        <f t="shared" si="1"/>
        <v/>
      </c>
      <c r="H61" t="str">
        <f t="shared" si="2"/>
        <v/>
      </c>
      <c r="I61" t="str">
        <f t="shared" si="3"/>
        <v>Mixed</v>
      </c>
      <c r="O61" t="s">
        <v>71</v>
      </c>
    </row>
    <row r="62" spans="5:18" x14ac:dyDescent="0.25">
      <c r="E62" t="str">
        <f t="shared" ref="E62:E70" si="13">IF(AND(B62=B61,A62&gt;A61),C61,"")</f>
        <v/>
      </c>
      <c r="F62" t="str">
        <f t="shared" ref="F62:F70" si="14">IF(AND(B62=B61,A62&gt;A61),D61,"")</f>
        <v/>
      </c>
      <c r="G62" t="str">
        <f t="shared" si="1"/>
        <v/>
      </c>
      <c r="H62" t="str">
        <f t="shared" si="2"/>
        <v/>
      </c>
      <c r="I62" t="str">
        <f t="shared" si="3"/>
        <v>Mixed</v>
      </c>
      <c r="O62" t="s">
        <v>72</v>
      </c>
      <c r="P62">
        <v>281</v>
      </c>
      <c r="Q62">
        <v>304</v>
      </c>
      <c r="R62">
        <v>300</v>
      </c>
    </row>
    <row r="63" spans="5:18" x14ac:dyDescent="0.25">
      <c r="E63" t="str">
        <f t="shared" si="13"/>
        <v/>
      </c>
      <c r="F63" t="str">
        <f t="shared" si="14"/>
        <v/>
      </c>
      <c r="G63" t="str">
        <f t="shared" si="1"/>
        <v/>
      </c>
      <c r="H63" t="str">
        <f t="shared" si="2"/>
        <v/>
      </c>
      <c r="I63" t="str">
        <f t="shared" si="3"/>
        <v>Mixed</v>
      </c>
      <c r="O63" t="s">
        <v>73</v>
      </c>
    </row>
    <row r="64" spans="5:18" x14ac:dyDescent="0.25">
      <c r="E64" t="str">
        <f t="shared" si="13"/>
        <v/>
      </c>
      <c r="F64" t="str">
        <f t="shared" si="14"/>
        <v/>
      </c>
      <c r="G64" t="str">
        <f t="shared" si="1"/>
        <v/>
      </c>
      <c r="H64" t="str">
        <f t="shared" si="2"/>
        <v/>
      </c>
      <c r="I64" t="str">
        <f t="shared" si="3"/>
        <v>Mixed</v>
      </c>
      <c r="O64" t="s">
        <v>74</v>
      </c>
      <c r="P64">
        <v>100</v>
      </c>
      <c r="Q64">
        <v>111</v>
      </c>
      <c r="R64">
        <v>104</v>
      </c>
    </row>
    <row r="65" spans="5:18" x14ac:dyDescent="0.25">
      <c r="E65" t="str">
        <f t="shared" si="13"/>
        <v/>
      </c>
      <c r="F65" t="str">
        <f t="shared" si="14"/>
        <v/>
      </c>
      <c r="G65" t="str">
        <f t="shared" si="1"/>
        <v/>
      </c>
      <c r="H65" t="str">
        <f t="shared" si="2"/>
        <v/>
      </c>
      <c r="I65" t="str">
        <f t="shared" si="3"/>
        <v>Mixed</v>
      </c>
      <c r="O65" t="s">
        <v>75</v>
      </c>
    </row>
    <row r="66" spans="5:18" x14ac:dyDescent="0.25">
      <c r="E66" t="str">
        <f t="shared" si="13"/>
        <v/>
      </c>
      <c r="F66" t="str">
        <f t="shared" si="14"/>
        <v/>
      </c>
      <c r="G66" t="str">
        <f t="shared" ref="G66:G129" si="15">IF(E66="","",IF(C66&gt;E66,"Higher High",IF(C66&lt;E66,"Lower High","Flat")))</f>
        <v/>
      </c>
      <c r="H66" t="str">
        <f t="shared" ref="H66:H129" si="16">IF(F66="","",IF(D66&gt;F66,"Higher Low",IF(D66&lt;F66,"Lower Low","Flat")))</f>
        <v/>
      </c>
      <c r="I66" t="str">
        <f t="shared" ref="I66:I129" si="17">IF(AND(G66="Higher High",H66="Higher Low"),"Bullish",IF(AND(G66="Lower High",H66="Lower Low"),"Bearish","Mixed"))</f>
        <v>Mixed</v>
      </c>
      <c r="O66" t="s">
        <v>76</v>
      </c>
      <c r="P66">
        <v>376</v>
      </c>
      <c r="Q66">
        <v>423</v>
      </c>
      <c r="R66">
        <v>391</v>
      </c>
    </row>
    <row r="67" spans="5:18" x14ac:dyDescent="0.25">
      <c r="E67" t="str">
        <f t="shared" si="13"/>
        <v/>
      </c>
      <c r="F67" t="str">
        <f t="shared" si="14"/>
        <v/>
      </c>
      <c r="G67" t="str">
        <f t="shared" si="15"/>
        <v/>
      </c>
      <c r="H67" t="str">
        <f t="shared" si="16"/>
        <v/>
      </c>
      <c r="I67" t="str">
        <f t="shared" si="17"/>
        <v>Mixed</v>
      </c>
      <c r="O67" t="s">
        <v>77</v>
      </c>
    </row>
    <row r="68" spans="5:18" x14ac:dyDescent="0.25">
      <c r="E68" t="str">
        <f t="shared" si="13"/>
        <v/>
      </c>
      <c r="F68" t="str">
        <f t="shared" si="14"/>
        <v/>
      </c>
      <c r="G68" t="str">
        <f t="shared" si="15"/>
        <v/>
      </c>
      <c r="H68" t="str">
        <f t="shared" si="16"/>
        <v/>
      </c>
      <c r="I68" t="str">
        <f t="shared" si="17"/>
        <v>Mixed</v>
      </c>
      <c r="O68" t="s">
        <v>78</v>
      </c>
      <c r="P68">
        <v>174</v>
      </c>
      <c r="Q68">
        <v>195</v>
      </c>
      <c r="R68">
        <v>179</v>
      </c>
    </row>
    <row r="69" spans="5:18" x14ac:dyDescent="0.25">
      <c r="E69" t="str">
        <f t="shared" si="13"/>
        <v/>
      </c>
      <c r="F69" t="str">
        <f t="shared" si="14"/>
        <v/>
      </c>
      <c r="G69" t="str">
        <f t="shared" si="15"/>
        <v/>
      </c>
      <c r="H69" t="str">
        <f t="shared" si="16"/>
        <v/>
      </c>
      <c r="I69" t="str">
        <f t="shared" si="17"/>
        <v>Mixed</v>
      </c>
      <c r="O69" t="s">
        <v>79</v>
      </c>
    </row>
    <row r="70" spans="5:18" x14ac:dyDescent="0.25">
      <c r="E70" t="str">
        <f t="shared" si="13"/>
        <v/>
      </c>
      <c r="F70" t="str">
        <f t="shared" si="14"/>
        <v/>
      </c>
      <c r="G70" t="str">
        <f t="shared" si="15"/>
        <v/>
      </c>
      <c r="H70" t="str">
        <f t="shared" si="16"/>
        <v/>
      </c>
      <c r="I70" t="str">
        <f t="shared" si="17"/>
        <v>Mixed</v>
      </c>
      <c r="O70" t="s">
        <v>80</v>
      </c>
      <c r="P70">
        <v>194</v>
      </c>
      <c r="Q70">
        <v>224</v>
      </c>
      <c r="R70">
        <v>198.76</v>
      </c>
    </row>
    <row r="71" spans="5:18" x14ac:dyDescent="0.25">
      <c r="E71" t="str">
        <f>IF(AND(B770=B70,A770&gt;A70),C70,"")</f>
        <v/>
      </c>
      <c r="F71" t="str">
        <f>IF(AND(B770=B70,A770&gt;A70),D70,"")</f>
        <v/>
      </c>
      <c r="G71" t="str">
        <f t="shared" si="15"/>
        <v/>
      </c>
      <c r="H71" t="str">
        <f t="shared" si="16"/>
        <v/>
      </c>
      <c r="I71" t="str">
        <f t="shared" si="17"/>
        <v>Mixed</v>
      </c>
      <c r="O71" t="s">
        <v>81</v>
      </c>
    </row>
    <row r="72" spans="5:18" x14ac:dyDescent="0.25">
      <c r="E72" t="str">
        <f t="shared" ref="E72:E80" si="18">IF(AND(B72=B71,A72&gt;A71),C71,"")</f>
        <v/>
      </c>
      <c r="F72" t="str">
        <f t="shared" ref="F72:F80" si="19">IF(AND(B72=B71,A72&gt;A71),D71,"")</f>
        <v/>
      </c>
      <c r="G72" t="str">
        <f t="shared" si="15"/>
        <v/>
      </c>
      <c r="H72" t="str">
        <f t="shared" si="16"/>
        <v/>
      </c>
      <c r="I72" t="str">
        <f t="shared" si="17"/>
        <v>Mixed</v>
      </c>
      <c r="O72" t="s">
        <v>82</v>
      </c>
      <c r="P72" s="1">
        <v>80726</v>
      </c>
      <c r="Q72" s="1">
        <v>89954</v>
      </c>
      <c r="R72" s="1">
        <v>86157</v>
      </c>
    </row>
    <row r="73" spans="5:18" x14ac:dyDescent="0.25">
      <c r="E73" t="str">
        <f t="shared" si="18"/>
        <v/>
      </c>
      <c r="F73" t="str">
        <f t="shared" si="19"/>
        <v/>
      </c>
      <c r="G73" t="str">
        <f t="shared" si="15"/>
        <v/>
      </c>
      <c r="H73" t="str">
        <f t="shared" si="16"/>
        <v/>
      </c>
      <c r="I73" t="str">
        <f t="shared" si="17"/>
        <v>Mixed</v>
      </c>
    </row>
    <row r="74" spans="5:18" x14ac:dyDescent="0.25">
      <c r="E74" t="str">
        <f t="shared" si="18"/>
        <v/>
      </c>
      <c r="F74" t="str">
        <f t="shared" si="19"/>
        <v/>
      </c>
      <c r="G74" t="str">
        <f t="shared" si="15"/>
        <v/>
      </c>
      <c r="H74" t="str">
        <f t="shared" si="16"/>
        <v/>
      </c>
      <c r="I74" t="str">
        <f t="shared" si="17"/>
        <v>Mixed</v>
      </c>
    </row>
    <row r="75" spans="5:18" x14ac:dyDescent="0.25">
      <c r="E75" t="str">
        <f t="shared" si="18"/>
        <v/>
      </c>
      <c r="F75" t="str">
        <f t="shared" si="19"/>
        <v/>
      </c>
      <c r="G75" t="str">
        <f t="shared" si="15"/>
        <v/>
      </c>
      <c r="H75" t="str">
        <f t="shared" si="16"/>
        <v/>
      </c>
      <c r="I75" t="str">
        <f t="shared" si="17"/>
        <v>Mixed</v>
      </c>
    </row>
    <row r="76" spans="5:18" x14ac:dyDescent="0.25">
      <c r="E76" t="str">
        <f t="shared" si="18"/>
        <v/>
      </c>
      <c r="F76" t="str">
        <f t="shared" si="19"/>
        <v/>
      </c>
      <c r="G76" t="str">
        <f t="shared" si="15"/>
        <v/>
      </c>
      <c r="H76" t="str">
        <f t="shared" si="16"/>
        <v/>
      </c>
      <c r="I76" t="str">
        <f t="shared" si="17"/>
        <v>Mixed</v>
      </c>
    </row>
    <row r="77" spans="5:18" x14ac:dyDescent="0.25">
      <c r="E77" t="str">
        <f t="shared" si="18"/>
        <v/>
      </c>
      <c r="F77" t="str">
        <f t="shared" si="19"/>
        <v/>
      </c>
      <c r="G77" t="str">
        <f t="shared" si="15"/>
        <v/>
      </c>
      <c r="H77" t="str">
        <f t="shared" si="16"/>
        <v/>
      </c>
      <c r="I77" t="str">
        <f t="shared" si="17"/>
        <v>Mixed</v>
      </c>
    </row>
    <row r="78" spans="5:18" x14ac:dyDescent="0.25">
      <c r="E78" t="str">
        <f t="shared" si="18"/>
        <v/>
      </c>
      <c r="F78" t="str">
        <f t="shared" si="19"/>
        <v/>
      </c>
      <c r="G78" t="str">
        <f t="shared" si="15"/>
        <v/>
      </c>
      <c r="H78" t="str">
        <f t="shared" si="16"/>
        <v/>
      </c>
      <c r="I78" t="str">
        <f t="shared" si="17"/>
        <v>Mixed</v>
      </c>
    </row>
    <row r="79" spans="5:18" x14ac:dyDescent="0.25">
      <c r="E79" t="str">
        <f t="shared" si="18"/>
        <v/>
      </c>
      <c r="F79" t="str">
        <f t="shared" si="19"/>
        <v/>
      </c>
      <c r="G79" t="str">
        <f t="shared" si="15"/>
        <v/>
      </c>
      <c r="H79" t="str">
        <f t="shared" si="16"/>
        <v/>
      </c>
      <c r="I79" t="str">
        <f t="shared" si="17"/>
        <v>Mixed</v>
      </c>
    </row>
    <row r="80" spans="5:18" x14ac:dyDescent="0.25">
      <c r="E80" t="str">
        <f t="shared" si="18"/>
        <v/>
      </c>
      <c r="F80" t="str">
        <f t="shared" si="19"/>
        <v/>
      </c>
      <c r="G80" t="str">
        <f t="shared" si="15"/>
        <v/>
      </c>
      <c r="H80" t="str">
        <f t="shared" si="16"/>
        <v/>
      </c>
      <c r="I80" t="str">
        <f t="shared" si="17"/>
        <v>Mixed</v>
      </c>
    </row>
    <row r="81" spans="5:9" x14ac:dyDescent="0.25">
      <c r="E81" t="str">
        <f>IF(AND(B880=B80,A880&gt;A80),C80,"")</f>
        <v/>
      </c>
      <c r="F81" t="str">
        <f>IF(AND(B880=B80,A880&gt;A80),D80,"")</f>
        <v/>
      </c>
      <c r="G81" t="str">
        <f t="shared" si="15"/>
        <v/>
      </c>
      <c r="H81" t="str">
        <f t="shared" si="16"/>
        <v/>
      </c>
      <c r="I81" t="str">
        <f t="shared" si="17"/>
        <v>Mixed</v>
      </c>
    </row>
    <row r="82" spans="5:9" x14ac:dyDescent="0.25">
      <c r="E82" t="str">
        <f t="shared" ref="E82:E90" si="20">IF(AND(B82=B81,A82&gt;A81),C81,"")</f>
        <v/>
      </c>
      <c r="F82" t="str">
        <f t="shared" ref="F82:F90" si="21">IF(AND(B82=B81,A82&gt;A81),D81,"")</f>
        <v/>
      </c>
      <c r="G82" t="str">
        <f t="shared" si="15"/>
        <v/>
      </c>
      <c r="H82" t="str">
        <f t="shared" si="16"/>
        <v/>
      </c>
      <c r="I82" t="str">
        <f t="shared" si="17"/>
        <v>Mixed</v>
      </c>
    </row>
    <row r="83" spans="5:9" x14ac:dyDescent="0.25">
      <c r="E83" t="str">
        <f t="shared" si="20"/>
        <v/>
      </c>
      <c r="F83" t="str">
        <f t="shared" si="21"/>
        <v/>
      </c>
      <c r="G83" t="str">
        <f t="shared" si="15"/>
        <v/>
      </c>
      <c r="H83" t="str">
        <f t="shared" si="16"/>
        <v/>
      </c>
      <c r="I83" t="str">
        <f t="shared" si="17"/>
        <v>Mixed</v>
      </c>
    </row>
    <row r="84" spans="5:9" x14ac:dyDescent="0.25">
      <c r="E84" t="str">
        <f t="shared" si="20"/>
        <v/>
      </c>
      <c r="F84" t="str">
        <f t="shared" si="21"/>
        <v/>
      </c>
      <c r="G84" t="str">
        <f t="shared" si="15"/>
        <v/>
      </c>
      <c r="H84" t="str">
        <f t="shared" si="16"/>
        <v/>
      </c>
      <c r="I84" t="str">
        <f t="shared" si="17"/>
        <v>Mixed</v>
      </c>
    </row>
    <row r="85" spans="5:9" x14ac:dyDescent="0.25">
      <c r="E85" t="str">
        <f t="shared" si="20"/>
        <v/>
      </c>
      <c r="F85" t="str">
        <f t="shared" si="21"/>
        <v/>
      </c>
      <c r="G85" t="str">
        <f t="shared" si="15"/>
        <v/>
      </c>
      <c r="H85" t="str">
        <f t="shared" si="16"/>
        <v/>
      </c>
      <c r="I85" t="str">
        <f t="shared" si="17"/>
        <v>Mixed</v>
      </c>
    </row>
    <row r="86" spans="5:9" x14ac:dyDescent="0.25">
      <c r="E86" t="str">
        <f t="shared" si="20"/>
        <v/>
      </c>
      <c r="F86" t="str">
        <f t="shared" si="21"/>
        <v/>
      </c>
      <c r="G86" t="str">
        <f t="shared" si="15"/>
        <v/>
      </c>
      <c r="H86" t="str">
        <f t="shared" si="16"/>
        <v/>
      </c>
      <c r="I86" t="str">
        <f t="shared" si="17"/>
        <v>Mixed</v>
      </c>
    </row>
    <row r="87" spans="5:9" x14ac:dyDescent="0.25">
      <c r="E87" t="str">
        <f t="shared" si="20"/>
        <v/>
      </c>
      <c r="F87" t="str">
        <f t="shared" si="21"/>
        <v/>
      </c>
      <c r="G87" t="str">
        <f t="shared" si="15"/>
        <v/>
      </c>
      <c r="H87" t="str">
        <f t="shared" si="16"/>
        <v/>
      </c>
      <c r="I87" t="str">
        <f t="shared" si="17"/>
        <v>Mixed</v>
      </c>
    </row>
    <row r="88" spans="5:9" x14ac:dyDescent="0.25">
      <c r="E88" t="str">
        <f t="shared" si="20"/>
        <v/>
      </c>
      <c r="F88" t="str">
        <f t="shared" si="21"/>
        <v/>
      </c>
      <c r="G88" t="str">
        <f t="shared" si="15"/>
        <v/>
      </c>
      <c r="H88" t="str">
        <f t="shared" si="16"/>
        <v/>
      </c>
      <c r="I88" t="str">
        <f t="shared" si="17"/>
        <v>Mixed</v>
      </c>
    </row>
    <row r="89" spans="5:9" x14ac:dyDescent="0.25">
      <c r="E89" t="str">
        <f t="shared" si="20"/>
        <v/>
      </c>
      <c r="F89" t="str">
        <f t="shared" si="21"/>
        <v/>
      </c>
      <c r="G89" t="str">
        <f t="shared" si="15"/>
        <v/>
      </c>
      <c r="H89" t="str">
        <f t="shared" si="16"/>
        <v/>
      </c>
      <c r="I89" t="str">
        <f t="shared" si="17"/>
        <v>Mixed</v>
      </c>
    </row>
    <row r="90" spans="5:9" x14ac:dyDescent="0.25">
      <c r="E90" t="str">
        <f t="shared" si="20"/>
        <v/>
      </c>
      <c r="F90" t="str">
        <f t="shared" si="21"/>
        <v/>
      </c>
      <c r="G90" t="str">
        <f t="shared" si="15"/>
        <v/>
      </c>
      <c r="H90" t="str">
        <f t="shared" si="16"/>
        <v/>
      </c>
      <c r="I90" t="str">
        <f t="shared" si="17"/>
        <v>Mixed</v>
      </c>
    </row>
    <row r="91" spans="5:9" x14ac:dyDescent="0.25">
      <c r="E91" t="str">
        <f>IF(AND(B990=B90,A990&gt;A90),C90,"")</f>
        <v/>
      </c>
      <c r="F91" t="str">
        <f>IF(AND(B990=B90,A990&gt;A90),D90,"")</f>
        <v/>
      </c>
      <c r="G91" t="str">
        <f t="shared" si="15"/>
        <v/>
      </c>
      <c r="H91" t="str">
        <f t="shared" si="16"/>
        <v/>
      </c>
      <c r="I91" t="str">
        <f t="shared" si="17"/>
        <v>Mixed</v>
      </c>
    </row>
    <row r="92" spans="5:9" x14ac:dyDescent="0.25">
      <c r="E92" t="str">
        <f t="shared" ref="E92:E99" si="22">IF(AND(B92=B91,A92&gt;A91),C91,"")</f>
        <v/>
      </c>
      <c r="F92" t="str">
        <f t="shared" ref="F92:F99" si="23">IF(AND(B92=B91,A92&gt;A91),D91,"")</f>
        <v/>
      </c>
      <c r="G92" t="str">
        <f t="shared" si="15"/>
        <v/>
      </c>
      <c r="H92" t="str">
        <f t="shared" si="16"/>
        <v/>
      </c>
      <c r="I92" t="str">
        <f t="shared" si="17"/>
        <v>Mixed</v>
      </c>
    </row>
    <row r="93" spans="5:9" x14ac:dyDescent="0.25">
      <c r="E93" t="str">
        <f t="shared" si="22"/>
        <v/>
      </c>
      <c r="F93" t="str">
        <f t="shared" si="23"/>
        <v/>
      </c>
      <c r="G93" t="str">
        <f t="shared" si="15"/>
        <v/>
      </c>
      <c r="H93" t="str">
        <f t="shared" si="16"/>
        <v/>
      </c>
      <c r="I93" t="str">
        <f t="shared" si="17"/>
        <v>Mixed</v>
      </c>
    </row>
    <row r="94" spans="5:9" x14ac:dyDescent="0.25">
      <c r="E94" t="str">
        <f t="shared" si="22"/>
        <v/>
      </c>
      <c r="F94" t="str">
        <f t="shared" si="23"/>
        <v/>
      </c>
      <c r="G94" t="str">
        <f t="shared" si="15"/>
        <v/>
      </c>
      <c r="H94" t="str">
        <f t="shared" si="16"/>
        <v/>
      </c>
      <c r="I94" t="str">
        <f t="shared" si="17"/>
        <v>Mixed</v>
      </c>
    </row>
    <row r="95" spans="5:9" x14ac:dyDescent="0.25">
      <c r="E95" t="str">
        <f t="shared" si="22"/>
        <v/>
      </c>
      <c r="F95" t="str">
        <f t="shared" si="23"/>
        <v/>
      </c>
      <c r="G95" t="str">
        <f t="shared" si="15"/>
        <v/>
      </c>
      <c r="H95" t="str">
        <f t="shared" si="16"/>
        <v/>
      </c>
      <c r="I95" t="str">
        <f t="shared" si="17"/>
        <v>Mixed</v>
      </c>
    </row>
    <row r="96" spans="5:9" x14ac:dyDescent="0.25">
      <c r="E96" t="str">
        <f t="shared" si="22"/>
        <v/>
      </c>
      <c r="F96" t="str">
        <f t="shared" si="23"/>
        <v/>
      </c>
      <c r="G96" t="str">
        <f t="shared" si="15"/>
        <v/>
      </c>
      <c r="H96" t="str">
        <f t="shared" si="16"/>
        <v/>
      </c>
      <c r="I96" t="str">
        <f t="shared" si="17"/>
        <v>Mixed</v>
      </c>
    </row>
    <row r="97" spans="5:9" x14ac:dyDescent="0.25">
      <c r="E97" t="str">
        <f t="shared" si="22"/>
        <v/>
      </c>
      <c r="F97" t="str">
        <f t="shared" si="23"/>
        <v/>
      </c>
      <c r="G97" t="str">
        <f t="shared" si="15"/>
        <v/>
      </c>
      <c r="H97" t="str">
        <f t="shared" si="16"/>
        <v/>
      </c>
      <c r="I97" t="str">
        <f t="shared" si="17"/>
        <v>Mixed</v>
      </c>
    </row>
    <row r="98" spans="5:9" x14ac:dyDescent="0.25">
      <c r="E98" t="str">
        <f t="shared" si="22"/>
        <v/>
      </c>
      <c r="F98" t="str">
        <f t="shared" si="23"/>
        <v/>
      </c>
      <c r="G98" t="str">
        <f t="shared" si="15"/>
        <v/>
      </c>
      <c r="H98" t="str">
        <f t="shared" si="16"/>
        <v/>
      </c>
      <c r="I98" t="str">
        <f t="shared" si="17"/>
        <v>Mixed</v>
      </c>
    </row>
    <row r="99" spans="5:9" x14ac:dyDescent="0.25">
      <c r="E99" t="str">
        <f t="shared" si="22"/>
        <v/>
      </c>
      <c r="F99" t="str">
        <f t="shared" si="23"/>
        <v/>
      </c>
      <c r="G99" t="str">
        <f t="shared" si="15"/>
        <v/>
      </c>
      <c r="H99" t="str">
        <f t="shared" si="16"/>
        <v/>
      </c>
      <c r="I99" t="str">
        <f t="shared" si="17"/>
        <v>Mixed</v>
      </c>
    </row>
    <row r="100" spans="5:9" x14ac:dyDescent="0.25">
      <c r="E100" t="str">
        <f>IF(AND(B9900=B99,A9900&gt;A99),C99,"")</f>
        <v/>
      </c>
      <c r="F100" t="str">
        <f>IF(AND(B9900=B99,A9900&gt;A99),D99,"")</f>
        <v/>
      </c>
      <c r="G100" t="str">
        <f t="shared" si="15"/>
        <v/>
      </c>
      <c r="H100" t="str">
        <f t="shared" si="16"/>
        <v/>
      </c>
      <c r="I100" t="str">
        <f t="shared" si="17"/>
        <v>Mixed</v>
      </c>
    </row>
    <row r="101" spans="5:9" x14ac:dyDescent="0.25">
      <c r="E101" t="str">
        <f>IF(AND(B1000100=B100,A1000100&gt;A100),C100,"")</f>
        <v/>
      </c>
      <c r="F101" t="str">
        <f>IF(AND(B1000100=B100,A1000100&gt;A100),D100,"")</f>
        <v/>
      </c>
      <c r="G101" t="str">
        <f t="shared" si="15"/>
        <v/>
      </c>
      <c r="H101" t="str">
        <f t="shared" si="16"/>
        <v/>
      </c>
      <c r="I101" t="str">
        <f t="shared" si="17"/>
        <v>Mixed</v>
      </c>
    </row>
    <row r="102" spans="5:9" x14ac:dyDescent="0.25">
      <c r="E102" t="str">
        <f>IF(AND(B10102=B101,A10102&gt;A101),C101,"")</f>
        <v/>
      </c>
      <c r="F102" t="str">
        <f>IF(AND(B10102=B101,A10102&gt;A101),D101,"")</f>
        <v/>
      </c>
      <c r="G102" t="str">
        <f t="shared" si="15"/>
        <v/>
      </c>
      <c r="H102" t="str">
        <f t="shared" si="16"/>
        <v/>
      </c>
      <c r="I102" t="str">
        <f t="shared" si="17"/>
        <v>Mixed</v>
      </c>
    </row>
    <row r="103" spans="5:9" x14ac:dyDescent="0.25">
      <c r="E103" t="str">
        <f>IF(AND(B10203=B102,A10203&gt;A102),C102,"")</f>
        <v/>
      </c>
      <c r="F103" t="str">
        <f>IF(AND(B10203=B102,A10203&gt;A102),D102,"")</f>
        <v/>
      </c>
      <c r="G103" t="str">
        <f t="shared" si="15"/>
        <v/>
      </c>
      <c r="H103" t="str">
        <f t="shared" si="16"/>
        <v/>
      </c>
      <c r="I103" t="str">
        <f t="shared" si="17"/>
        <v>Mixed</v>
      </c>
    </row>
    <row r="104" spans="5:9" x14ac:dyDescent="0.25">
      <c r="E104" t="str">
        <f>IF(AND(B10304=B103,A10304&gt;A103),C103,"")</f>
        <v/>
      </c>
      <c r="F104" t="str">
        <f>IF(AND(B10304=B103,A10304&gt;A103),D103,"")</f>
        <v/>
      </c>
      <c r="G104" t="str">
        <f t="shared" si="15"/>
        <v/>
      </c>
      <c r="H104" t="str">
        <f t="shared" si="16"/>
        <v/>
      </c>
      <c r="I104" t="str">
        <f t="shared" si="17"/>
        <v>Mixed</v>
      </c>
    </row>
    <row r="105" spans="5:9" x14ac:dyDescent="0.25">
      <c r="E105" t="str">
        <f>IF(AND(B10405=B104,A10405&gt;A104),C104,"")</f>
        <v/>
      </c>
      <c r="F105" t="str">
        <f>IF(AND(B10405=B104,A10405&gt;A104),D104,"")</f>
        <v/>
      </c>
      <c r="G105" t="str">
        <f t="shared" si="15"/>
        <v/>
      </c>
      <c r="H105" t="str">
        <f t="shared" si="16"/>
        <v/>
      </c>
      <c r="I105" t="str">
        <f t="shared" si="17"/>
        <v>Mixed</v>
      </c>
    </row>
    <row r="106" spans="5:9" x14ac:dyDescent="0.25">
      <c r="E106" t="str">
        <f>IF(AND(B10506=B105,A10506&gt;A105),C105,"")</f>
        <v/>
      </c>
      <c r="F106" t="str">
        <f>IF(AND(B10506=B105,A10506&gt;A105),D105,"")</f>
        <v/>
      </c>
      <c r="G106" t="str">
        <f t="shared" si="15"/>
        <v/>
      </c>
      <c r="H106" t="str">
        <f t="shared" si="16"/>
        <v/>
      </c>
      <c r="I106" t="str">
        <f t="shared" si="17"/>
        <v>Mixed</v>
      </c>
    </row>
    <row r="107" spans="5:9" x14ac:dyDescent="0.25">
      <c r="E107" t="str">
        <f>IF(AND(B10607=B106,A10607&gt;A106),C106,"")</f>
        <v/>
      </c>
      <c r="F107" t="str">
        <f>IF(AND(B10607=B106,A10607&gt;A106),D106,"")</f>
        <v/>
      </c>
      <c r="G107" t="str">
        <f t="shared" si="15"/>
        <v/>
      </c>
      <c r="H107" t="str">
        <f t="shared" si="16"/>
        <v/>
      </c>
      <c r="I107" t="str">
        <f t="shared" si="17"/>
        <v>Mixed</v>
      </c>
    </row>
    <row r="108" spans="5:9" x14ac:dyDescent="0.25">
      <c r="E108" t="str">
        <f>IF(AND(B10708=B107,A10708&gt;A107),C107,"")</f>
        <v/>
      </c>
      <c r="F108" t="str">
        <f>IF(AND(B10708=B107,A10708&gt;A107),D107,"")</f>
        <v/>
      </c>
      <c r="G108" t="str">
        <f t="shared" si="15"/>
        <v/>
      </c>
      <c r="H108" t="str">
        <f t="shared" si="16"/>
        <v/>
      </c>
      <c r="I108" t="str">
        <f t="shared" si="17"/>
        <v>Mixed</v>
      </c>
    </row>
    <row r="109" spans="5:9" x14ac:dyDescent="0.25">
      <c r="E109" t="str">
        <f>IF(AND(B10809=B108,A10809&gt;A108),C108,"")</f>
        <v/>
      </c>
      <c r="F109" t="str">
        <f>IF(AND(B10809=B108,A10809&gt;A108),D108,"")</f>
        <v/>
      </c>
      <c r="G109" t="str">
        <f t="shared" si="15"/>
        <v/>
      </c>
      <c r="H109" t="str">
        <f t="shared" si="16"/>
        <v/>
      </c>
      <c r="I109" t="str">
        <f t="shared" si="17"/>
        <v>Mixed</v>
      </c>
    </row>
    <row r="110" spans="5:9" x14ac:dyDescent="0.25">
      <c r="E110" t="e">
        <f>IF(AND(B1091090=B109,A1091090&gt;A109),C109,"")</f>
        <v>#NAME?</v>
      </c>
      <c r="F110" t="e">
        <f>IF(AND(B1091090=B109,A1091090&gt;A109),D109,"")</f>
        <v>#NAME?</v>
      </c>
      <c r="G110" t="e">
        <f t="shared" si="15"/>
        <v>#NAME?</v>
      </c>
      <c r="H110" t="e">
        <f t="shared" si="16"/>
        <v>#NAME?</v>
      </c>
      <c r="I110" t="e">
        <f t="shared" si="17"/>
        <v>#NAME?</v>
      </c>
    </row>
    <row r="111" spans="5:9" x14ac:dyDescent="0.25">
      <c r="E111" t="e">
        <f>IF(AND(B110110110=B110,A110110110&gt;A110),C110,"")</f>
        <v>#NAME?</v>
      </c>
      <c r="F111" t="e">
        <f>IF(AND(B110110110=B110,A110110110&gt;A110),D110,"")</f>
        <v>#NAME?</v>
      </c>
      <c r="G111" t="e">
        <f t="shared" si="15"/>
        <v>#NAME?</v>
      </c>
      <c r="H111" t="e">
        <f t="shared" si="16"/>
        <v>#NAME?</v>
      </c>
      <c r="I111" t="e">
        <f t="shared" si="17"/>
        <v>#NAME?</v>
      </c>
    </row>
    <row r="112" spans="5:9" x14ac:dyDescent="0.25">
      <c r="E112" t="e">
        <f>IF(AND(B1111112=B111,A1111112&gt;A111),C111,"")</f>
        <v>#NAME?</v>
      </c>
      <c r="F112" t="e">
        <f>IF(AND(B1111112=B111,A1111112&gt;A111),D111,"")</f>
        <v>#NAME?</v>
      </c>
      <c r="G112" t="e">
        <f t="shared" si="15"/>
        <v>#NAME?</v>
      </c>
      <c r="H112" t="e">
        <f t="shared" si="16"/>
        <v>#NAME?</v>
      </c>
      <c r="I112" t="e">
        <f t="shared" si="17"/>
        <v>#NAME?</v>
      </c>
    </row>
    <row r="113" spans="5:9" x14ac:dyDescent="0.25">
      <c r="E113" t="e">
        <f>IF(AND(B1121123=B112,A1121123&gt;A112),C112,"")</f>
        <v>#NAME?</v>
      </c>
      <c r="F113" t="e">
        <f>IF(AND(B1121123=B112,A1121123&gt;A112),D112,"")</f>
        <v>#NAME?</v>
      </c>
      <c r="G113" t="e">
        <f t="shared" si="15"/>
        <v>#NAME?</v>
      </c>
      <c r="H113" t="e">
        <f t="shared" si="16"/>
        <v>#NAME?</v>
      </c>
      <c r="I113" t="e">
        <f t="shared" si="17"/>
        <v>#NAME?</v>
      </c>
    </row>
    <row r="114" spans="5:9" x14ac:dyDescent="0.25">
      <c r="E114" t="e">
        <f>IF(AND(B1131134=B113,A1131134&gt;A113),C113,"")</f>
        <v>#NAME?</v>
      </c>
      <c r="F114" t="e">
        <f>IF(AND(B1131134=B113,A1131134&gt;A113),D113,"")</f>
        <v>#NAME?</v>
      </c>
      <c r="G114" t="e">
        <f t="shared" si="15"/>
        <v>#NAME?</v>
      </c>
      <c r="H114" t="e">
        <f t="shared" si="16"/>
        <v>#NAME?</v>
      </c>
      <c r="I114" t="e">
        <f t="shared" si="17"/>
        <v>#NAME?</v>
      </c>
    </row>
    <row r="115" spans="5:9" x14ac:dyDescent="0.25">
      <c r="E115" t="e">
        <f>IF(AND(B1141145=B114,A1141145&gt;A114),C114,"")</f>
        <v>#NAME?</v>
      </c>
      <c r="F115" t="e">
        <f>IF(AND(B1141145=B114,A1141145&gt;A114),D114,"")</f>
        <v>#NAME?</v>
      </c>
      <c r="G115" t="e">
        <f t="shared" si="15"/>
        <v>#NAME?</v>
      </c>
      <c r="H115" t="e">
        <f t="shared" si="16"/>
        <v>#NAME?</v>
      </c>
      <c r="I115" t="e">
        <f t="shared" si="17"/>
        <v>#NAME?</v>
      </c>
    </row>
    <row r="116" spans="5:9" x14ac:dyDescent="0.25">
      <c r="E116" t="e">
        <f>IF(AND(B1151156=B115,A1151156&gt;A115),C115,"")</f>
        <v>#NAME?</v>
      </c>
      <c r="F116" t="e">
        <f>IF(AND(B1151156=B115,A1151156&gt;A115),D115,"")</f>
        <v>#NAME?</v>
      </c>
      <c r="G116" t="e">
        <f t="shared" si="15"/>
        <v>#NAME?</v>
      </c>
      <c r="H116" t="e">
        <f t="shared" si="16"/>
        <v>#NAME?</v>
      </c>
      <c r="I116" t="e">
        <f t="shared" si="17"/>
        <v>#NAME?</v>
      </c>
    </row>
    <row r="117" spans="5:9" x14ac:dyDescent="0.25">
      <c r="E117" t="e">
        <f>IF(AND(B1161167=B116,A1161167&gt;A116),C116,"")</f>
        <v>#NAME?</v>
      </c>
      <c r="F117" t="e">
        <f>IF(AND(B1161167=B116,A1161167&gt;A116),D116,"")</f>
        <v>#NAME?</v>
      </c>
      <c r="G117" t="e">
        <f t="shared" si="15"/>
        <v>#NAME?</v>
      </c>
      <c r="H117" t="e">
        <f t="shared" si="16"/>
        <v>#NAME?</v>
      </c>
      <c r="I117" t="e">
        <f t="shared" si="17"/>
        <v>#NAME?</v>
      </c>
    </row>
    <row r="118" spans="5:9" x14ac:dyDescent="0.25">
      <c r="E118" t="e">
        <f>IF(AND(B1171178=B117,A1171178&gt;A117),C117,"")</f>
        <v>#NAME?</v>
      </c>
      <c r="F118" t="e">
        <f>IF(AND(B1171178=B117,A1171178&gt;A117),D117,"")</f>
        <v>#NAME?</v>
      </c>
      <c r="G118" t="e">
        <f t="shared" si="15"/>
        <v>#NAME?</v>
      </c>
      <c r="H118" t="e">
        <f t="shared" si="16"/>
        <v>#NAME?</v>
      </c>
      <c r="I118" t="e">
        <f t="shared" si="17"/>
        <v>#NAME?</v>
      </c>
    </row>
    <row r="119" spans="5:9" x14ac:dyDescent="0.25">
      <c r="E119" t="e">
        <f>IF(AND(B1181189=B118,A1181189&gt;A118),C118,"")</f>
        <v>#NAME?</v>
      </c>
      <c r="F119" t="e">
        <f>IF(AND(B1181189=B118,A1181189&gt;A118),D118,"")</f>
        <v>#NAME?</v>
      </c>
      <c r="G119" t="e">
        <f t="shared" si="15"/>
        <v>#NAME?</v>
      </c>
      <c r="H119" t="e">
        <f t="shared" si="16"/>
        <v>#NAME?</v>
      </c>
      <c r="I119" t="e">
        <f t="shared" si="17"/>
        <v>#NAME?</v>
      </c>
    </row>
    <row r="120" spans="5:9" x14ac:dyDescent="0.25">
      <c r="E120" t="str">
        <f>IF(AND(B11920=B119,A11920&gt;A119),C119,"")</f>
        <v/>
      </c>
      <c r="F120" t="str">
        <f>IF(AND(B11920=B119,A11920&gt;A119),D119,"")</f>
        <v/>
      </c>
      <c r="G120" t="str">
        <f t="shared" si="15"/>
        <v/>
      </c>
      <c r="H120" t="str">
        <f t="shared" si="16"/>
        <v/>
      </c>
      <c r="I120" t="str">
        <f t="shared" si="17"/>
        <v>Mixed</v>
      </c>
    </row>
    <row r="121" spans="5:9" x14ac:dyDescent="0.25">
      <c r="E121" t="e">
        <f>IF(AND(B1202120=B120,A1202120&gt;A120),C120,"")</f>
        <v>#NAME?</v>
      </c>
      <c r="F121" t="e">
        <f>IF(AND(B1202120=B120,A1202120&gt;A120),D120,"")</f>
        <v>#NAME?</v>
      </c>
      <c r="G121" t="e">
        <f t="shared" si="15"/>
        <v>#NAME?</v>
      </c>
      <c r="H121" t="e">
        <f t="shared" si="16"/>
        <v>#NAME?</v>
      </c>
      <c r="I121" t="e">
        <f t="shared" si="17"/>
        <v>#NAME?</v>
      </c>
    </row>
    <row r="122" spans="5:9" x14ac:dyDescent="0.25">
      <c r="E122" t="str">
        <f>IF(AND(B12122=B121,A12122&gt;A121),C121,"")</f>
        <v/>
      </c>
      <c r="F122" t="str">
        <f>IF(AND(B12122=B121,A12122&gt;A121),D121,"")</f>
        <v/>
      </c>
      <c r="G122" t="str">
        <f t="shared" si="15"/>
        <v/>
      </c>
      <c r="H122" t="str">
        <f t="shared" si="16"/>
        <v/>
      </c>
      <c r="I122" t="str">
        <f t="shared" si="17"/>
        <v>Mixed</v>
      </c>
    </row>
    <row r="123" spans="5:9" x14ac:dyDescent="0.25">
      <c r="E123" t="str">
        <f>IF(AND(B12223=B122,A12223&gt;A122),C122,"")</f>
        <v/>
      </c>
      <c r="F123" t="str">
        <f>IF(AND(B12223=B122,A12223&gt;A122),D122,"")</f>
        <v/>
      </c>
      <c r="G123" t="str">
        <f t="shared" si="15"/>
        <v/>
      </c>
      <c r="H123" t="str">
        <f t="shared" si="16"/>
        <v/>
      </c>
      <c r="I123" t="str">
        <f t="shared" si="17"/>
        <v>Mixed</v>
      </c>
    </row>
    <row r="124" spans="5:9" x14ac:dyDescent="0.25">
      <c r="E124" t="str">
        <f>IF(AND(B12324=B123,A12324&gt;A123),C123,"")</f>
        <v/>
      </c>
      <c r="F124" t="str">
        <f>IF(AND(B12324=B123,A12324&gt;A123),D123,"")</f>
        <v/>
      </c>
      <c r="G124" t="str">
        <f t="shared" si="15"/>
        <v/>
      </c>
      <c r="H124" t="str">
        <f t="shared" si="16"/>
        <v/>
      </c>
      <c r="I124" t="str">
        <f t="shared" si="17"/>
        <v>Mixed</v>
      </c>
    </row>
    <row r="125" spans="5:9" x14ac:dyDescent="0.25">
      <c r="E125" t="str">
        <f>IF(AND(B12425=B124,A12425&gt;A124),C124,"")</f>
        <v/>
      </c>
      <c r="F125" t="str">
        <f>IF(AND(B12425=B124,A12425&gt;A124),D124,"")</f>
        <v/>
      </c>
      <c r="G125" t="str">
        <f t="shared" si="15"/>
        <v/>
      </c>
      <c r="H125" t="str">
        <f t="shared" si="16"/>
        <v/>
      </c>
      <c r="I125" t="str">
        <f t="shared" si="17"/>
        <v>Mixed</v>
      </c>
    </row>
    <row r="126" spans="5:9" x14ac:dyDescent="0.25">
      <c r="E126" t="str">
        <f>IF(AND(B12526=B125,A12526&gt;A125),C125,"")</f>
        <v/>
      </c>
      <c r="F126" t="str">
        <f>IF(AND(B12526=B125,A12526&gt;A125),D125,"")</f>
        <v/>
      </c>
      <c r="G126" t="str">
        <f t="shared" si="15"/>
        <v/>
      </c>
      <c r="H126" t="str">
        <f t="shared" si="16"/>
        <v/>
      </c>
      <c r="I126" t="str">
        <f t="shared" si="17"/>
        <v>Mixed</v>
      </c>
    </row>
    <row r="127" spans="5:9" x14ac:dyDescent="0.25">
      <c r="E127" t="str">
        <f>IF(AND(B12627=B126,A12627&gt;A126),C126,"")</f>
        <v/>
      </c>
      <c r="F127" t="str">
        <f>IF(AND(B12627=B126,A12627&gt;A126),D126,"")</f>
        <v/>
      </c>
      <c r="G127" t="str">
        <f t="shared" si="15"/>
        <v/>
      </c>
      <c r="H127" t="str">
        <f t="shared" si="16"/>
        <v/>
      </c>
      <c r="I127" t="str">
        <f t="shared" si="17"/>
        <v>Mixed</v>
      </c>
    </row>
    <row r="128" spans="5:9" x14ac:dyDescent="0.25">
      <c r="E128" t="str">
        <f>IF(AND(B12728=B127,A12728&gt;A127),C127,"")</f>
        <v/>
      </c>
      <c r="F128" t="str">
        <f>IF(AND(B12728=B127,A12728&gt;A127),D127,"")</f>
        <v/>
      </c>
      <c r="G128" t="str">
        <f t="shared" si="15"/>
        <v/>
      </c>
      <c r="H128" t="str">
        <f t="shared" si="16"/>
        <v/>
      </c>
      <c r="I128" t="str">
        <f t="shared" si="17"/>
        <v>Mixed</v>
      </c>
    </row>
    <row r="129" spans="5:9" x14ac:dyDescent="0.25">
      <c r="E129" t="str">
        <f>IF(AND(B12829=B128,A12829&gt;A128),C128,"")</f>
        <v/>
      </c>
      <c r="F129" t="str">
        <f>IF(AND(B12829=B128,A12829&gt;A128),D128,"")</f>
        <v/>
      </c>
      <c r="G129" t="str">
        <f t="shared" si="15"/>
        <v/>
      </c>
      <c r="H129" t="str">
        <f t="shared" si="16"/>
        <v/>
      </c>
      <c r="I129" t="str">
        <f t="shared" si="17"/>
        <v>Mixed</v>
      </c>
    </row>
    <row r="130" spans="5:9" x14ac:dyDescent="0.25">
      <c r="E130" t="str">
        <f>IF(AND(B12930=B129,A12930&gt;A129),C129,"")</f>
        <v/>
      </c>
      <c r="F130" t="str">
        <f>IF(AND(B12930=B129,A12930&gt;A129),D129,"")</f>
        <v/>
      </c>
      <c r="G130" t="str">
        <f t="shared" ref="G130:G193" si="24">IF(E130="","",IF(C130&gt;E130,"Higher High",IF(C130&lt;E130,"Lower High","Flat")))</f>
        <v/>
      </c>
      <c r="H130" t="str">
        <f t="shared" ref="H130:H193" si="25">IF(F130="","",IF(D130&gt;F130,"Higher Low",IF(D130&lt;F130,"Lower Low","Flat")))</f>
        <v/>
      </c>
      <c r="I130" t="str">
        <f t="shared" ref="I130:I193" si="26">IF(AND(G130="Higher High",H130="Higher Low"),"Bullish",IF(AND(G130="Lower High",H130="Lower Low"),"Bearish","Mixed"))</f>
        <v>Mixed</v>
      </c>
    </row>
    <row r="131" spans="5:9" x14ac:dyDescent="0.25">
      <c r="E131" t="e">
        <f>IF(AND(B1303130=B130,A1303130&gt;A130),C130,"")</f>
        <v>#NAME?</v>
      </c>
      <c r="F131" t="e">
        <f>IF(AND(B1303130=B130,A1303130&gt;A130),D130,"")</f>
        <v>#NAME?</v>
      </c>
      <c r="G131" t="e">
        <f t="shared" si="24"/>
        <v>#NAME?</v>
      </c>
      <c r="H131" t="e">
        <f t="shared" si="25"/>
        <v>#NAME?</v>
      </c>
      <c r="I131" t="e">
        <f t="shared" si="26"/>
        <v>#NAME?</v>
      </c>
    </row>
    <row r="132" spans="5:9" x14ac:dyDescent="0.25">
      <c r="E132" t="str">
        <f>IF(AND(B13132=B131,A13132&gt;A131),C131,"")</f>
        <v/>
      </c>
      <c r="F132" t="str">
        <f>IF(AND(B13132=B131,A13132&gt;A131),D131,"")</f>
        <v/>
      </c>
      <c r="G132" t="str">
        <f t="shared" si="24"/>
        <v/>
      </c>
      <c r="H132" t="str">
        <f t="shared" si="25"/>
        <v/>
      </c>
      <c r="I132" t="str">
        <f t="shared" si="26"/>
        <v>Mixed</v>
      </c>
    </row>
    <row r="133" spans="5:9" x14ac:dyDescent="0.25">
      <c r="E133" t="str">
        <f>IF(AND(B13233=B132,A13233&gt;A132),C132,"")</f>
        <v/>
      </c>
      <c r="F133" t="str">
        <f>IF(AND(B13233=B132,A13233&gt;A132),D132,"")</f>
        <v/>
      </c>
      <c r="G133" t="str">
        <f t="shared" si="24"/>
        <v/>
      </c>
      <c r="H133" t="str">
        <f t="shared" si="25"/>
        <v/>
      </c>
      <c r="I133" t="str">
        <f t="shared" si="26"/>
        <v>Mixed</v>
      </c>
    </row>
    <row r="134" spans="5:9" x14ac:dyDescent="0.25">
      <c r="E134" t="str">
        <f>IF(AND(B13334=B133,A13334&gt;A133),C133,"")</f>
        <v/>
      </c>
      <c r="F134" t="str">
        <f>IF(AND(B13334=B133,A13334&gt;A133),D133,"")</f>
        <v/>
      </c>
      <c r="G134" t="str">
        <f t="shared" si="24"/>
        <v/>
      </c>
      <c r="H134" t="str">
        <f t="shared" si="25"/>
        <v/>
      </c>
      <c r="I134" t="str">
        <f t="shared" si="26"/>
        <v>Mixed</v>
      </c>
    </row>
    <row r="135" spans="5:9" x14ac:dyDescent="0.25">
      <c r="E135" t="str">
        <f>IF(AND(B13435=B134,A13435&gt;A134),C134,"")</f>
        <v/>
      </c>
      <c r="F135" t="str">
        <f>IF(AND(B13435=B134,A13435&gt;A134),D134,"")</f>
        <v/>
      </c>
      <c r="G135" t="str">
        <f t="shared" si="24"/>
        <v/>
      </c>
      <c r="H135" t="str">
        <f t="shared" si="25"/>
        <v/>
      </c>
      <c r="I135" t="str">
        <f t="shared" si="26"/>
        <v>Mixed</v>
      </c>
    </row>
    <row r="136" spans="5:9" x14ac:dyDescent="0.25">
      <c r="E136" t="str">
        <f>IF(AND(B13536=B135,A13536&gt;A135),C135,"")</f>
        <v/>
      </c>
      <c r="F136" t="str">
        <f>IF(AND(B13536=B135,A13536&gt;A135),D135,"")</f>
        <v/>
      </c>
      <c r="G136" t="str">
        <f t="shared" si="24"/>
        <v/>
      </c>
      <c r="H136" t="str">
        <f t="shared" si="25"/>
        <v/>
      </c>
      <c r="I136" t="str">
        <f t="shared" si="26"/>
        <v>Mixed</v>
      </c>
    </row>
    <row r="137" spans="5:9" x14ac:dyDescent="0.25">
      <c r="E137" t="str">
        <f>IF(AND(B13637=B136,A13637&gt;A136),C136,"")</f>
        <v/>
      </c>
      <c r="F137" t="str">
        <f>IF(AND(B13637=B136,A13637&gt;A136),D136,"")</f>
        <v/>
      </c>
      <c r="G137" t="str">
        <f t="shared" si="24"/>
        <v/>
      </c>
      <c r="H137" t="str">
        <f t="shared" si="25"/>
        <v/>
      </c>
      <c r="I137" t="str">
        <f t="shared" si="26"/>
        <v>Mixed</v>
      </c>
    </row>
    <row r="138" spans="5:9" x14ac:dyDescent="0.25">
      <c r="E138" t="str">
        <f>IF(AND(B13738=B137,A13738&gt;A137),C137,"")</f>
        <v/>
      </c>
      <c r="F138" t="str">
        <f>IF(AND(B13738=B137,A13738&gt;A137),D137,"")</f>
        <v/>
      </c>
      <c r="G138" t="str">
        <f t="shared" si="24"/>
        <v/>
      </c>
      <c r="H138" t="str">
        <f t="shared" si="25"/>
        <v/>
      </c>
      <c r="I138" t="str">
        <f t="shared" si="26"/>
        <v>Mixed</v>
      </c>
    </row>
    <row r="139" spans="5:9" x14ac:dyDescent="0.25">
      <c r="E139" t="str">
        <f>IF(AND(B13839=B138,A13839&gt;A138),C138,"")</f>
        <v/>
      </c>
      <c r="F139" t="str">
        <f>IF(AND(B13839=B138,A13839&gt;A138),D138,"")</f>
        <v/>
      </c>
      <c r="G139" t="str">
        <f t="shared" si="24"/>
        <v/>
      </c>
      <c r="H139" t="str">
        <f t="shared" si="25"/>
        <v/>
      </c>
      <c r="I139" t="str">
        <f t="shared" si="26"/>
        <v>Mixed</v>
      </c>
    </row>
    <row r="140" spans="5:9" x14ac:dyDescent="0.25">
      <c r="E140" t="str">
        <f>IF(AND(B13940=B139,A13940&gt;A139),C139,"")</f>
        <v/>
      </c>
      <c r="F140" t="str">
        <f>IF(AND(B13940=B139,A13940&gt;A139),D139,"")</f>
        <v/>
      </c>
      <c r="G140" t="str">
        <f t="shared" si="24"/>
        <v/>
      </c>
      <c r="H140" t="str">
        <f t="shared" si="25"/>
        <v/>
      </c>
      <c r="I140" t="str">
        <f t="shared" si="26"/>
        <v>Mixed</v>
      </c>
    </row>
    <row r="141" spans="5:9" x14ac:dyDescent="0.25">
      <c r="E141" t="e">
        <f>IF(AND(B1404140=B140,A1404140&gt;A140),C140,"")</f>
        <v>#NAME?</v>
      </c>
      <c r="F141" t="e">
        <f>IF(AND(B1404140=B140,A1404140&gt;A140),D140,"")</f>
        <v>#NAME?</v>
      </c>
      <c r="G141" t="e">
        <f t="shared" si="24"/>
        <v>#NAME?</v>
      </c>
      <c r="H141" t="e">
        <f t="shared" si="25"/>
        <v>#NAME?</v>
      </c>
      <c r="I141" t="e">
        <f t="shared" si="26"/>
        <v>#NAME?</v>
      </c>
    </row>
    <row r="142" spans="5:9" x14ac:dyDescent="0.25">
      <c r="E142" t="str">
        <f>IF(AND(B14142=B141,A14142&gt;A141),C141,"")</f>
        <v/>
      </c>
      <c r="F142" t="str">
        <f>IF(AND(B14142=B141,A14142&gt;A141),D141,"")</f>
        <v/>
      </c>
      <c r="G142" t="str">
        <f t="shared" si="24"/>
        <v/>
      </c>
      <c r="H142" t="str">
        <f t="shared" si="25"/>
        <v/>
      </c>
      <c r="I142" t="str">
        <f t="shared" si="26"/>
        <v>Mixed</v>
      </c>
    </row>
    <row r="143" spans="5:9" x14ac:dyDescent="0.25">
      <c r="E143" t="str">
        <f>IF(AND(B14243=B142,A14243&gt;A142),C142,"")</f>
        <v/>
      </c>
      <c r="F143" t="str">
        <f>IF(AND(B14243=B142,A14243&gt;A142),D142,"")</f>
        <v/>
      </c>
      <c r="G143" t="str">
        <f t="shared" si="24"/>
        <v/>
      </c>
      <c r="H143" t="str">
        <f t="shared" si="25"/>
        <v/>
      </c>
      <c r="I143" t="str">
        <f t="shared" si="26"/>
        <v>Mixed</v>
      </c>
    </row>
    <row r="144" spans="5:9" x14ac:dyDescent="0.25">
      <c r="E144" t="str">
        <f>IF(AND(B14344=B143,A14344&gt;A143),C143,"")</f>
        <v/>
      </c>
      <c r="F144" t="str">
        <f>IF(AND(B14344=B143,A14344&gt;A143),D143,"")</f>
        <v/>
      </c>
      <c r="G144" t="str">
        <f t="shared" si="24"/>
        <v/>
      </c>
      <c r="H144" t="str">
        <f t="shared" si="25"/>
        <v/>
      </c>
      <c r="I144" t="str">
        <f t="shared" si="26"/>
        <v>Mixed</v>
      </c>
    </row>
    <row r="145" spans="5:9" x14ac:dyDescent="0.25">
      <c r="E145" t="str">
        <f>IF(AND(B14445=B144,A14445&gt;A144),C144,"")</f>
        <v/>
      </c>
      <c r="F145" t="str">
        <f>IF(AND(B14445=B144,A14445&gt;A144),D144,"")</f>
        <v/>
      </c>
      <c r="G145" t="str">
        <f t="shared" si="24"/>
        <v/>
      </c>
      <c r="H145" t="str">
        <f t="shared" si="25"/>
        <v/>
      </c>
      <c r="I145" t="str">
        <f t="shared" si="26"/>
        <v>Mixed</v>
      </c>
    </row>
    <row r="146" spans="5:9" x14ac:dyDescent="0.25">
      <c r="E146" t="str">
        <f>IF(AND(B14546=B145,A14546&gt;A145),C145,"")</f>
        <v/>
      </c>
      <c r="F146" t="str">
        <f>IF(AND(B14546=B145,A14546&gt;A145),D145,"")</f>
        <v/>
      </c>
      <c r="G146" t="str">
        <f t="shared" si="24"/>
        <v/>
      </c>
      <c r="H146" t="str">
        <f t="shared" si="25"/>
        <v/>
      </c>
      <c r="I146" t="str">
        <f t="shared" si="26"/>
        <v>Mixed</v>
      </c>
    </row>
    <row r="147" spans="5:9" x14ac:dyDescent="0.25">
      <c r="E147" t="str">
        <f>IF(AND(B14647=B146,A14647&gt;A146),C146,"")</f>
        <v/>
      </c>
      <c r="F147" t="str">
        <f>IF(AND(B14647=B146,A14647&gt;A146),D146,"")</f>
        <v/>
      </c>
      <c r="G147" t="str">
        <f t="shared" si="24"/>
        <v/>
      </c>
      <c r="H147" t="str">
        <f t="shared" si="25"/>
        <v/>
      </c>
      <c r="I147" t="str">
        <f t="shared" si="26"/>
        <v>Mixed</v>
      </c>
    </row>
    <row r="148" spans="5:9" x14ac:dyDescent="0.25">
      <c r="E148" t="str">
        <f>IF(AND(B14748=B147,A14748&gt;A147),C147,"")</f>
        <v/>
      </c>
      <c r="F148" t="str">
        <f>IF(AND(B14748=B147,A14748&gt;A147),D147,"")</f>
        <v/>
      </c>
      <c r="G148" t="str">
        <f t="shared" si="24"/>
        <v/>
      </c>
      <c r="H148" t="str">
        <f t="shared" si="25"/>
        <v/>
      </c>
      <c r="I148" t="str">
        <f t="shared" si="26"/>
        <v>Mixed</v>
      </c>
    </row>
    <row r="149" spans="5:9" x14ac:dyDescent="0.25">
      <c r="E149" t="str">
        <f>IF(AND(B14849=B148,A14849&gt;A148),C148,"")</f>
        <v/>
      </c>
      <c r="F149" t="str">
        <f>IF(AND(B14849=B148,A14849&gt;A148),D148,"")</f>
        <v/>
      </c>
      <c r="G149" t="str">
        <f t="shared" si="24"/>
        <v/>
      </c>
      <c r="H149" t="str">
        <f t="shared" si="25"/>
        <v/>
      </c>
      <c r="I149" t="str">
        <f t="shared" si="26"/>
        <v>Mixed</v>
      </c>
    </row>
    <row r="150" spans="5:9" x14ac:dyDescent="0.25">
      <c r="E150" t="str">
        <f>IF(AND(B14950=B149,A14950&gt;A149),C149,"")</f>
        <v/>
      </c>
      <c r="F150" t="str">
        <f>IF(AND(B14950=B149,A14950&gt;A149),D149,"")</f>
        <v/>
      </c>
      <c r="G150" t="str">
        <f t="shared" si="24"/>
        <v/>
      </c>
      <c r="H150" t="str">
        <f t="shared" si="25"/>
        <v/>
      </c>
      <c r="I150" t="str">
        <f t="shared" si="26"/>
        <v>Mixed</v>
      </c>
    </row>
    <row r="151" spans="5:9" x14ac:dyDescent="0.25">
      <c r="E151" t="e">
        <f>IF(AND(B1505150=B150,A1505150&gt;A150),C150,"")</f>
        <v>#NAME?</v>
      </c>
      <c r="F151" t="e">
        <f>IF(AND(B1505150=B150,A1505150&gt;A150),D150,"")</f>
        <v>#NAME?</v>
      </c>
      <c r="G151" t="e">
        <f t="shared" si="24"/>
        <v>#NAME?</v>
      </c>
      <c r="H151" t="e">
        <f t="shared" si="25"/>
        <v>#NAME?</v>
      </c>
      <c r="I151" t="e">
        <f t="shared" si="26"/>
        <v>#NAME?</v>
      </c>
    </row>
    <row r="152" spans="5:9" x14ac:dyDescent="0.25">
      <c r="E152" t="str">
        <f>IF(AND(B15152=B151,A15152&gt;A151),C151,"")</f>
        <v/>
      </c>
      <c r="F152" t="str">
        <f>IF(AND(B15152=B151,A15152&gt;A151),D151,"")</f>
        <v/>
      </c>
      <c r="G152" t="str">
        <f t="shared" si="24"/>
        <v/>
      </c>
      <c r="H152" t="str">
        <f t="shared" si="25"/>
        <v/>
      </c>
      <c r="I152" t="str">
        <f t="shared" si="26"/>
        <v>Mixed</v>
      </c>
    </row>
    <row r="153" spans="5:9" x14ac:dyDescent="0.25">
      <c r="E153" t="str">
        <f>IF(AND(B15253=B152,A15253&gt;A152),C152,"")</f>
        <v/>
      </c>
      <c r="F153" t="str">
        <f>IF(AND(B15253=B152,A15253&gt;A152),D152,"")</f>
        <v/>
      </c>
      <c r="G153" t="str">
        <f t="shared" si="24"/>
        <v/>
      </c>
      <c r="H153" t="str">
        <f t="shared" si="25"/>
        <v/>
      </c>
      <c r="I153" t="str">
        <f t="shared" si="26"/>
        <v>Mixed</v>
      </c>
    </row>
    <row r="154" spans="5:9" x14ac:dyDescent="0.25">
      <c r="E154" t="str">
        <f>IF(AND(B15354=B153,A15354&gt;A153),C153,"")</f>
        <v/>
      </c>
      <c r="F154" t="str">
        <f>IF(AND(B15354=B153,A15354&gt;A153),D153,"")</f>
        <v/>
      </c>
      <c r="G154" t="str">
        <f t="shared" si="24"/>
        <v/>
      </c>
      <c r="H154" t="str">
        <f t="shared" si="25"/>
        <v/>
      </c>
      <c r="I154" t="str">
        <f t="shared" si="26"/>
        <v>Mixed</v>
      </c>
    </row>
    <row r="155" spans="5:9" x14ac:dyDescent="0.25">
      <c r="E155" t="str">
        <f>IF(AND(B15455=B154,A15455&gt;A154),C154,"")</f>
        <v/>
      </c>
      <c r="F155" t="str">
        <f>IF(AND(B15455=B154,A15455&gt;A154),D154,"")</f>
        <v/>
      </c>
      <c r="G155" t="str">
        <f t="shared" si="24"/>
        <v/>
      </c>
      <c r="H155" t="str">
        <f t="shared" si="25"/>
        <v/>
      </c>
      <c r="I155" t="str">
        <f t="shared" si="26"/>
        <v>Mixed</v>
      </c>
    </row>
    <row r="156" spans="5:9" x14ac:dyDescent="0.25">
      <c r="E156" t="str">
        <f>IF(AND(B15556=B155,A15556&gt;A155),C155,"")</f>
        <v/>
      </c>
      <c r="F156" t="str">
        <f>IF(AND(B15556=B155,A15556&gt;A155),D155,"")</f>
        <v/>
      </c>
      <c r="G156" t="str">
        <f t="shared" si="24"/>
        <v/>
      </c>
      <c r="H156" t="str">
        <f t="shared" si="25"/>
        <v/>
      </c>
      <c r="I156" t="str">
        <f t="shared" si="26"/>
        <v>Mixed</v>
      </c>
    </row>
    <row r="157" spans="5:9" x14ac:dyDescent="0.25">
      <c r="E157" t="str">
        <f>IF(AND(B15657=B156,A15657&gt;A156),C156,"")</f>
        <v/>
      </c>
      <c r="F157" t="str">
        <f>IF(AND(B15657=B156,A15657&gt;A156),D156,"")</f>
        <v/>
      </c>
      <c r="G157" t="str">
        <f t="shared" si="24"/>
        <v/>
      </c>
      <c r="H157" t="str">
        <f t="shared" si="25"/>
        <v/>
      </c>
      <c r="I157" t="str">
        <f t="shared" si="26"/>
        <v>Mixed</v>
      </c>
    </row>
    <row r="158" spans="5:9" x14ac:dyDescent="0.25">
      <c r="E158" t="str">
        <f>IF(AND(B15758=B157,A15758&gt;A157),C157,"")</f>
        <v/>
      </c>
      <c r="F158" t="str">
        <f>IF(AND(B15758=B157,A15758&gt;A157),D157,"")</f>
        <v/>
      </c>
      <c r="G158" t="str">
        <f t="shared" si="24"/>
        <v/>
      </c>
      <c r="H158" t="str">
        <f t="shared" si="25"/>
        <v/>
      </c>
      <c r="I158" t="str">
        <f t="shared" si="26"/>
        <v>Mixed</v>
      </c>
    </row>
    <row r="159" spans="5:9" x14ac:dyDescent="0.25">
      <c r="E159" t="str">
        <f>IF(AND(B15859=B158,A15859&gt;A158),C158,"")</f>
        <v/>
      </c>
      <c r="F159" t="str">
        <f>IF(AND(B15859=B158,A15859&gt;A158),D158,"")</f>
        <v/>
      </c>
      <c r="G159" t="str">
        <f t="shared" si="24"/>
        <v/>
      </c>
      <c r="H159" t="str">
        <f t="shared" si="25"/>
        <v/>
      </c>
      <c r="I159" t="str">
        <f t="shared" si="26"/>
        <v>Mixed</v>
      </c>
    </row>
    <row r="160" spans="5:9" x14ac:dyDescent="0.25">
      <c r="E160" t="str">
        <f>IF(AND(B15960=B159,A15960&gt;A159),C159,"")</f>
        <v/>
      </c>
      <c r="F160" t="str">
        <f>IF(AND(B15960=B159,A15960&gt;A159),D159,"")</f>
        <v/>
      </c>
      <c r="G160" t="str">
        <f t="shared" si="24"/>
        <v/>
      </c>
      <c r="H160" t="str">
        <f t="shared" si="25"/>
        <v/>
      </c>
      <c r="I160" t="str">
        <f t="shared" si="26"/>
        <v>Mixed</v>
      </c>
    </row>
    <row r="161" spans="5:9" x14ac:dyDescent="0.25">
      <c r="E161" t="e">
        <f>IF(AND(B1606160=B160,A1606160&gt;A160),C160,"")</f>
        <v>#NAME?</v>
      </c>
      <c r="F161" t="e">
        <f>IF(AND(B1606160=B160,A1606160&gt;A160),D160,"")</f>
        <v>#NAME?</v>
      </c>
      <c r="G161" t="e">
        <f t="shared" si="24"/>
        <v>#NAME?</v>
      </c>
      <c r="H161" t="e">
        <f t="shared" si="25"/>
        <v>#NAME?</v>
      </c>
      <c r="I161" t="e">
        <f t="shared" si="26"/>
        <v>#NAME?</v>
      </c>
    </row>
    <row r="162" spans="5:9" x14ac:dyDescent="0.25">
      <c r="E162" t="str">
        <f>IF(AND(B16162=B161,A16162&gt;A161),C161,"")</f>
        <v/>
      </c>
      <c r="F162" t="str">
        <f>IF(AND(B16162=B161,A16162&gt;A161),D161,"")</f>
        <v/>
      </c>
      <c r="G162" t="str">
        <f t="shared" si="24"/>
        <v/>
      </c>
      <c r="H162" t="str">
        <f t="shared" si="25"/>
        <v/>
      </c>
      <c r="I162" t="str">
        <f t="shared" si="26"/>
        <v>Mixed</v>
      </c>
    </row>
    <row r="163" spans="5:9" x14ac:dyDescent="0.25">
      <c r="E163" t="str">
        <f>IF(AND(B16263=B162,A16263&gt;A162),C162,"")</f>
        <v/>
      </c>
      <c r="F163" t="str">
        <f>IF(AND(B16263=B162,A16263&gt;A162),D162,"")</f>
        <v/>
      </c>
      <c r="G163" t="str">
        <f t="shared" si="24"/>
        <v/>
      </c>
      <c r="H163" t="str">
        <f t="shared" si="25"/>
        <v/>
      </c>
      <c r="I163" t="str">
        <f t="shared" si="26"/>
        <v>Mixed</v>
      </c>
    </row>
    <row r="164" spans="5:9" x14ac:dyDescent="0.25">
      <c r="E164" t="str">
        <f>IF(AND(B16364=B163,A16364&gt;A163),C163,"")</f>
        <v/>
      </c>
      <c r="F164" t="str">
        <f>IF(AND(B16364=B163,A16364&gt;A163),D163,"")</f>
        <v/>
      </c>
      <c r="G164" t="str">
        <f t="shared" si="24"/>
        <v/>
      </c>
      <c r="H164" t="str">
        <f t="shared" si="25"/>
        <v/>
      </c>
      <c r="I164" t="str">
        <f t="shared" si="26"/>
        <v>Mixed</v>
      </c>
    </row>
    <row r="165" spans="5:9" x14ac:dyDescent="0.25">
      <c r="E165" t="str">
        <f>IF(AND(B16465=B164,A16465&gt;A164),C164,"")</f>
        <v/>
      </c>
      <c r="F165" t="str">
        <f>IF(AND(B16465=B164,A16465&gt;A164),D164,"")</f>
        <v/>
      </c>
      <c r="G165" t="str">
        <f t="shared" si="24"/>
        <v/>
      </c>
      <c r="H165" t="str">
        <f t="shared" si="25"/>
        <v/>
      </c>
      <c r="I165" t="str">
        <f t="shared" si="26"/>
        <v>Mixed</v>
      </c>
    </row>
    <row r="166" spans="5:9" x14ac:dyDescent="0.25">
      <c r="E166" t="str">
        <f>IF(AND(B16566=B165,A16566&gt;A165),C165,"")</f>
        <v/>
      </c>
      <c r="F166" t="str">
        <f>IF(AND(B16566=B165,A16566&gt;A165),D165,"")</f>
        <v/>
      </c>
      <c r="G166" t="str">
        <f t="shared" si="24"/>
        <v/>
      </c>
      <c r="H166" t="str">
        <f t="shared" si="25"/>
        <v/>
      </c>
      <c r="I166" t="str">
        <f t="shared" si="26"/>
        <v>Mixed</v>
      </c>
    </row>
    <row r="167" spans="5:9" x14ac:dyDescent="0.25">
      <c r="E167" t="str">
        <f>IF(AND(B16667=B166,A16667&gt;A166),C166,"")</f>
        <v/>
      </c>
      <c r="F167" t="str">
        <f>IF(AND(B16667=B166,A16667&gt;A166),D166,"")</f>
        <v/>
      </c>
      <c r="G167" t="str">
        <f t="shared" si="24"/>
        <v/>
      </c>
      <c r="H167" t="str">
        <f t="shared" si="25"/>
        <v/>
      </c>
      <c r="I167" t="str">
        <f t="shared" si="26"/>
        <v>Mixed</v>
      </c>
    </row>
    <row r="168" spans="5:9" x14ac:dyDescent="0.25">
      <c r="E168" t="str">
        <f>IF(AND(B16768=B167,A16768&gt;A167),C167,"")</f>
        <v/>
      </c>
      <c r="F168" t="str">
        <f>IF(AND(B16768=B167,A16768&gt;A167),D167,"")</f>
        <v/>
      </c>
      <c r="G168" t="str">
        <f t="shared" si="24"/>
        <v/>
      </c>
      <c r="H168" t="str">
        <f t="shared" si="25"/>
        <v/>
      </c>
      <c r="I168" t="str">
        <f t="shared" si="26"/>
        <v>Mixed</v>
      </c>
    </row>
    <row r="169" spans="5:9" x14ac:dyDescent="0.25">
      <c r="E169" t="str">
        <f>IF(AND(B16869=B168,A16869&gt;A168),C168,"")</f>
        <v/>
      </c>
      <c r="F169" t="str">
        <f>IF(AND(B16869=B168,A16869&gt;A168),D168,"")</f>
        <v/>
      </c>
      <c r="G169" t="str">
        <f t="shared" si="24"/>
        <v/>
      </c>
      <c r="H169" t="str">
        <f t="shared" si="25"/>
        <v/>
      </c>
      <c r="I169" t="str">
        <f t="shared" si="26"/>
        <v>Mixed</v>
      </c>
    </row>
    <row r="170" spans="5:9" x14ac:dyDescent="0.25">
      <c r="E170" t="str">
        <f>IF(AND(B16970=B169,A16970&gt;A169),C169,"")</f>
        <v/>
      </c>
      <c r="F170" t="str">
        <f>IF(AND(B16970=B169,A16970&gt;A169),D169,"")</f>
        <v/>
      </c>
      <c r="G170" t="str">
        <f t="shared" si="24"/>
        <v/>
      </c>
      <c r="H170" t="str">
        <f t="shared" si="25"/>
        <v/>
      </c>
      <c r="I170" t="str">
        <f t="shared" si="26"/>
        <v>Mixed</v>
      </c>
    </row>
    <row r="171" spans="5:9" x14ac:dyDescent="0.25">
      <c r="E171" t="e">
        <f>IF(AND(B1707170=B170,A1707170&gt;A170),C170,"")</f>
        <v>#NAME?</v>
      </c>
      <c r="F171" t="e">
        <f>IF(AND(B1707170=B170,A1707170&gt;A170),D170,"")</f>
        <v>#NAME?</v>
      </c>
      <c r="G171" t="e">
        <f t="shared" si="24"/>
        <v>#NAME?</v>
      </c>
      <c r="H171" t="e">
        <f t="shared" si="25"/>
        <v>#NAME?</v>
      </c>
      <c r="I171" t="e">
        <f t="shared" si="26"/>
        <v>#NAME?</v>
      </c>
    </row>
    <row r="172" spans="5:9" x14ac:dyDescent="0.25">
      <c r="E172" t="str">
        <f>IF(AND(B17172=B171,A17172&gt;A171),C171,"")</f>
        <v/>
      </c>
      <c r="F172" t="str">
        <f>IF(AND(B17172=B171,A17172&gt;A171),D171,"")</f>
        <v/>
      </c>
      <c r="G172" t="str">
        <f t="shared" si="24"/>
        <v/>
      </c>
      <c r="H172" t="str">
        <f t="shared" si="25"/>
        <v/>
      </c>
      <c r="I172" t="str">
        <f t="shared" si="26"/>
        <v>Mixed</v>
      </c>
    </row>
    <row r="173" spans="5:9" x14ac:dyDescent="0.25">
      <c r="E173" t="str">
        <f>IF(AND(B17273=B172,A17273&gt;A172),C172,"")</f>
        <v/>
      </c>
      <c r="F173" t="str">
        <f>IF(AND(B17273=B172,A17273&gt;A172),D172,"")</f>
        <v/>
      </c>
      <c r="G173" t="str">
        <f t="shared" si="24"/>
        <v/>
      </c>
      <c r="H173" t="str">
        <f t="shared" si="25"/>
        <v/>
      </c>
      <c r="I173" t="str">
        <f t="shared" si="26"/>
        <v>Mixed</v>
      </c>
    </row>
    <row r="174" spans="5:9" x14ac:dyDescent="0.25">
      <c r="E174" t="str">
        <f>IF(AND(B17374=B173,A17374&gt;A173),C173,"")</f>
        <v/>
      </c>
      <c r="F174" t="str">
        <f>IF(AND(B17374=B173,A17374&gt;A173),D173,"")</f>
        <v/>
      </c>
      <c r="G174" t="str">
        <f t="shared" si="24"/>
        <v/>
      </c>
      <c r="H174" t="str">
        <f t="shared" si="25"/>
        <v/>
      </c>
      <c r="I174" t="str">
        <f t="shared" si="26"/>
        <v>Mixed</v>
      </c>
    </row>
    <row r="175" spans="5:9" x14ac:dyDescent="0.25">
      <c r="E175" t="str">
        <f>IF(AND(B17475=B174,A17475&gt;A174),C174,"")</f>
        <v/>
      </c>
      <c r="F175" t="str">
        <f>IF(AND(B17475=B174,A17475&gt;A174),D174,"")</f>
        <v/>
      </c>
      <c r="G175" t="str">
        <f t="shared" si="24"/>
        <v/>
      </c>
      <c r="H175" t="str">
        <f t="shared" si="25"/>
        <v/>
      </c>
      <c r="I175" t="str">
        <f t="shared" si="26"/>
        <v>Mixed</v>
      </c>
    </row>
    <row r="176" spans="5:9" x14ac:dyDescent="0.25">
      <c r="E176" t="str">
        <f>IF(AND(B17576=B175,A17576&gt;A175),C175,"")</f>
        <v/>
      </c>
      <c r="F176" t="str">
        <f>IF(AND(B17576=B175,A17576&gt;A175),D175,"")</f>
        <v/>
      </c>
      <c r="G176" t="str">
        <f t="shared" si="24"/>
        <v/>
      </c>
      <c r="H176" t="str">
        <f t="shared" si="25"/>
        <v/>
      </c>
      <c r="I176" t="str">
        <f t="shared" si="26"/>
        <v>Mixed</v>
      </c>
    </row>
    <row r="177" spans="5:9" x14ac:dyDescent="0.25">
      <c r="E177" t="str">
        <f>IF(AND(B17677=B176,A17677&gt;A176),C176,"")</f>
        <v/>
      </c>
      <c r="F177" t="str">
        <f>IF(AND(B17677=B176,A17677&gt;A176),D176,"")</f>
        <v/>
      </c>
      <c r="G177" t="str">
        <f t="shared" si="24"/>
        <v/>
      </c>
      <c r="H177" t="str">
        <f t="shared" si="25"/>
        <v/>
      </c>
      <c r="I177" t="str">
        <f t="shared" si="26"/>
        <v>Mixed</v>
      </c>
    </row>
    <row r="178" spans="5:9" x14ac:dyDescent="0.25">
      <c r="E178" t="str">
        <f>IF(AND(B17778=B177,A17778&gt;A177),C177,"")</f>
        <v/>
      </c>
      <c r="F178" t="str">
        <f>IF(AND(B17778=B177,A17778&gt;A177),D177,"")</f>
        <v/>
      </c>
      <c r="G178" t="str">
        <f t="shared" si="24"/>
        <v/>
      </c>
      <c r="H178" t="str">
        <f t="shared" si="25"/>
        <v/>
      </c>
      <c r="I178" t="str">
        <f t="shared" si="26"/>
        <v>Mixed</v>
      </c>
    </row>
    <row r="179" spans="5:9" x14ac:dyDescent="0.25">
      <c r="E179" t="str">
        <f>IF(AND(B17879=B178,A17879&gt;A178),C178,"")</f>
        <v/>
      </c>
      <c r="F179" t="str">
        <f>IF(AND(B17879=B178,A17879&gt;A178),D178,"")</f>
        <v/>
      </c>
      <c r="G179" t="str">
        <f t="shared" si="24"/>
        <v/>
      </c>
      <c r="H179" t="str">
        <f t="shared" si="25"/>
        <v/>
      </c>
      <c r="I179" t="str">
        <f t="shared" si="26"/>
        <v>Mixed</v>
      </c>
    </row>
    <row r="180" spans="5:9" x14ac:dyDescent="0.25">
      <c r="E180" t="str">
        <f>IF(AND(B17980=B179,A17980&gt;A179),C179,"")</f>
        <v/>
      </c>
      <c r="F180" t="str">
        <f>IF(AND(B17980=B179,A17980&gt;A179),D179,"")</f>
        <v/>
      </c>
      <c r="G180" t="str">
        <f t="shared" si="24"/>
        <v/>
      </c>
      <c r="H180" t="str">
        <f t="shared" si="25"/>
        <v/>
      </c>
      <c r="I180" t="str">
        <f t="shared" si="26"/>
        <v>Mixed</v>
      </c>
    </row>
    <row r="181" spans="5:9" x14ac:dyDescent="0.25">
      <c r="E181" t="e">
        <f>IF(AND(B1808180=B180,A1808180&gt;A180),C180,"")</f>
        <v>#NAME?</v>
      </c>
      <c r="F181" t="e">
        <f>IF(AND(B1808180=B180,A1808180&gt;A180),D180,"")</f>
        <v>#NAME?</v>
      </c>
      <c r="G181" t="e">
        <f t="shared" si="24"/>
        <v>#NAME?</v>
      </c>
      <c r="H181" t="e">
        <f t="shared" si="25"/>
        <v>#NAME?</v>
      </c>
      <c r="I181" t="e">
        <f t="shared" si="26"/>
        <v>#NAME?</v>
      </c>
    </row>
    <row r="182" spans="5:9" x14ac:dyDescent="0.25">
      <c r="E182" t="str">
        <f>IF(AND(B18182=B181,A18182&gt;A181),C181,"")</f>
        <v/>
      </c>
      <c r="F182" t="str">
        <f>IF(AND(B18182=B181,A18182&gt;A181),D181,"")</f>
        <v/>
      </c>
      <c r="G182" t="str">
        <f t="shared" si="24"/>
        <v/>
      </c>
      <c r="H182" t="str">
        <f t="shared" si="25"/>
        <v/>
      </c>
      <c r="I182" t="str">
        <f t="shared" si="26"/>
        <v>Mixed</v>
      </c>
    </row>
    <row r="183" spans="5:9" x14ac:dyDescent="0.25">
      <c r="E183" t="str">
        <f>IF(AND(B18283=B182,A18283&gt;A182),C182,"")</f>
        <v/>
      </c>
      <c r="F183" t="str">
        <f>IF(AND(B18283=B182,A18283&gt;A182),D182,"")</f>
        <v/>
      </c>
      <c r="G183" t="str">
        <f t="shared" si="24"/>
        <v/>
      </c>
      <c r="H183" t="str">
        <f t="shared" si="25"/>
        <v/>
      </c>
      <c r="I183" t="str">
        <f t="shared" si="26"/>
        <v>Mixed</v>
      </c>
    </row>
    <row r="184" spans="5:9" x14ac:dyDescent="0.25">
      <c r="E184" t="str">
        <f>IF(AND(B18384=B183,A18384&gt;A183),C183,"")</f>
        <v/>
      </c>
      <c r="F184" t="str">
        <f>IF(AND(B18384=B183,A18384&gt;A183),D183,"")</f>
        <v/>
      </c>
      <c r="G184" t="str">
        <f t="shared" si="24"/>
        <v/>
      </c>
      <c r="H184" t="str">
        <f t="shared" si="25"/>
        <v/>
      </c>
      <c r="I184" t="str">
        <f t="shared" si="26"/>
        <v>Mixed</v>
      </c>
    </row>
    <row r="185" spans="5:9" x14ac:dyDescent="0.25">
      <c r="E185" t="str">
        <f>IF(AND(B18485=B184,A18485&gt;A184),C184,"")</f>
        <v/>
      </c>
      <c r="F185" t="str">
        <f>IF(AND(B18485=B184,A18485&gt;A184),D184,"")</f>
        <v/>
      </c>
      <c r="G185" t="str">
        <f t="shared" si="24"/>
        <v/>
      </c>
      <c r="H185" t="str">
        <f t="shared" si="25"/>
        <v/>
      </c>
      <c r="I185" t="str">
        <f t="shared" si="26"/>
        <v>Mixed</v>
      </c>
    </row>
    <row r="186" spans="5:9" x14ac:dyDescent="0.25">
      <c r="E186" t="str">
        <f>IF(AND(B18586=B185,A18586&gt;A185),C185,"")</f>
        <v/>
      </c>
      <c r="F186" t="str">
        <f>IF(AND(B18586=B185,A18586&gt;A185),D185,"")</f>
        <v/>
      </c>
      <c r="G186" t="str">
        <f t="shared" si="24"/>
        <v/>
      </c>
      <c r="H186" t="str">
        <f t="shared" si="25"/>
        <v/>
      </c>
      <c r="I186" t="str">
        <f t="shared" si="26"/>
        <v>Mixed</v>
      </c>
    </row>
    <row r="187" spans="5:9" x14ac:dyDescent="0.25">
      <c r="E187" t="str">
        <f>IF(AND(B18687=B186,A18687&gt;A186),C186,"")</f>
        <v/>
      </c>
      <c r="F187" t="str">
        <f>IF(AND(B18687=B186,A18687&gt;A186),D186,"")</f>
        <v/>
      </c>
      <c r="G187" t="str">
        <f t="shared" si="24"/>
        <v/>
      </c>
      <c r="H187" t="str">
        <f t="shared" si="25"/>
        <v/>
      </c>
      <c r="I187" t="str">
        <f t="shared" si="26"/>
        <v>Mixed</v>
      </c>
    </row>
    <row r="188" spans="5:9" x14ac:dyDescent="0.25">
      <c r="E188" t="str">
        <f>IF(AND(B18788=B187,A18788&gt;A187),C187,"")</f>
        <v/>
      </c>
      <c r="F188" t="str">
        <f>IF(AND(B18788=B187,A18788&gt;A187),D187,"")</f>
        <v/>
      </c>
      <c r="G188" t="str">
        <f t="shared" si="24"/>
        <v/>
      </c>
      <c r="H188" t="str">
        <f t="shared" si="25"/>
        <v/>
      </c>
      <c r="I188" t="str">
        <f t="shared" si="26"/>
        <v>Mixed</v>
      </c>
    </row>
    <row r="189" spans="5:9" x14ac:dyDescent="0.25">
      <c r="E189" t="str">
        <f>IF(AND(B18889=B188,A18889&gt;A188),C188,"")</f>
        <v/>
      </c>
      <c r="F189" t="str">
        <f>IF(AND(B18889=B188,A18889&gt;A188),D188,"")</f>
        <v/>
      </c>
      <c r="G189" t="str">
        <f t="shared" si="24"/>
        <v/>
      </c>
      <c r="H189" t="str">
        <f t="shared" si="25"/>
        <v/>
      </c>
      <c r="I189" t="str">
        <f t="shared" si="26"/>
        <v>Mixed</v>
      </c>
    </row>
    <row r="190" spans="5:9" x14ac:dyDescent="0.25">
      <c r="E190" t="str">
        <f>IF(AND(B18990=B189,A18990&gt;A189),C189,"")</f>
        <v/>
      </c>
      <c r="F190" t="str">
        <f>IF(AND(B18990=B189,A18990&gt;A189),D189,"")</f>
        <v/>
      </c>
      <c r="G190" t="str">
        <f t="shared" si="24"/>
        <v/>
      </c>
      <c r="H190" t="str">
        <f t="shared" si="25"/>
        <v/>
      </c>
      <c r="I190" t="str">
        <f t="shared" si="26"/>
        <v>Mixed</v>
      </c>
    </row>
    <row r="191" spans="5:9" x14ac:dyDescent="0.25">
      <c r="E191" t="e">
        <f>IF(AND(B1909190=B190,A1909190&gt;A190),C190,"")</f>
        <v>#NAME?</v>
      </c>
      <c r="F191" t="e">
        <f>IF(AND(B1909190=B190,A1909190&gt;A190),D190,"")</f>
        <v>#NAME?</v>
      </c>
      <c r="G191" t="e">
        <f t="shared" si="24"/>
        <v>#NAME?</v>
      </c>
      <c r="H191" t="e">
        <f t="shared" si="25"/>
        <v>#NAME?</v>
      </c>
      <c r="I191" t="e">
        <f t="shared" si="26"/>
        <v>#NAME?</v>
      </c>
    </row>
    <row r="192" spans="5:9" x14ac:dyDescent="0.25">
      <c r="E192" t="str">
        <f>IF(AND(B19192=B191,A19192&gt;A191),C191,"")</f>
        <v/>
      </c>
      <c r="F192" t="str">
        <f>IF(AND(B19192=B191,A19192&gt;A191),D191,"")</f>
        <v/>
      </c>
      <c r="G192" t="str">
        <f t="shared" si="24"/>
        <v/>
      </c>
      <c r="H192" t="str">
        <f t="shared" si="25"/>
        <v/>
      </c>
      <c r="I192" t="str">
        <f t="shared" si="26"/>
        <v>Mixed</v>
      </c>
    </row>
    <row r="193" spans="5:9" x14ac:dyDescent="0.25">
      <c r="E193" t="str">
        <f>IF(AND(B19293=B192,A19293&gt;A192),C192,"")</f>
        <v/>
      </c>
      <c r="F193" t="str">
        <f>IF(AND(B19293=B192,A19293&gt;A192),D192,"")</f>
        <v/>
      </c>
      <c r="G193" t="str">
        <f t="shared" si="24"/>
        <v/>
      </c>
      <c r="H193" t="str">
        <f t="shared" si="25"/>
        <v/>
      </c>
      <c r="I193" t="str">
        <f t="shared" si="26"/>
        <v>Mixed</v>
      </c>
    </row>
    <row r="194" spans="5:9" x14ac:dyDescent="0.25">
      <c r="E194" t="str">
        <f>IF(AND(B19394=B193,A19394&gt;A193),C193,"")</f>
        <v/>
      </c>
      <c r="F194" t="str">
        <f>IF(AND(B19394=B193,A19394&gt;A193),D193,"")</f>
        <v/>
      </c>
      <c r="G194" t="str">
        <f t="shared" ref="G194:G257" si="27">IF(E194="","",IF(C194&gt;E194,"Higher High",IF(C194&lt;E194,"Lower High","Flat")))</f>
        <v/>
      </c>
      <c r="H194" t="str">
        <f t="shared" ref="H194:H257" si="28">IF(F194="","",IF(D194&gt;F194,"Higher Low",IF(D194&lt;F194,"Lower Low","Flat")))</f>
        <v/>
      </c>
      <c r="I194" t="str">
        <f t="shared" ref="I194:I257" si="29">IF(AND(G194="Higher High",H194="Higher Low"),"Bullish",IF(AND(G194="Lower High",H194="Lower Low"),"Bearish","Mixed"))</f>
        <v>Mixed</v>
      </c>
    </row>
    <row r="195" spans="5:9" x14ac:dyDescent="0.25">
      <c r="E195" t="str">
        <f>IF(AND(B19495=B194,A19495&gt;A194),C194,"")</f>
        <v/>
      </c>
      <c r="F195" t="str">
        <f>IF(AND(B19495=B194,A19495&gt;A194),D194,"")</f>
        <v/>
      </c>
      <c r="G195" t="str">
        <f t="shared" si="27"/>
        <v/>
      </c>
      <c r="H195" t="str">
        <f t="shared" si="28"/>
        <v/>
      </c>
      <c r="I195" t="str">
        <f t="shared" si="29"/>
        <v>Mixed</v>
      </c>
    </row>
    <row r="196" spans="5:9" x14ac:dyDescent="0.25">
      <c r="E196" t="str">
        <f>IF(AND(B19596=B195,A19596&gt;A195),C195,"")</f>
        <v/>
      </c>
      <c r="F196" t="str">
        <f>IF(AND(B19596=B195,A19596&gt;A195),D195,"")</f>
        <v/>
      </c>
      <c r="G196" t="str">
        <f t="shared" si="27"/>
        <v/>
      </c>
      <c r="H196" t="str">
        <f t="shared" si="28"/>
        <v/>
      </c>
      <c r="I196" t="str">
        <f t="shared" si="29"/>
        <v>Mixed</v>
      </c>
    </row>
    <row r="197" spans="5:9" x14ac:dyDescent="0.25">
      <c r="E197" t="str">
        <f>IF(AND(B19697=B196,A19697&gt;A196),C196,"")</f>
        <v/>
      </c>
      <c r="F197" t="str">
        <f>IF(AND(B19697=B196,A19697&gt;A196),D196,"")</f>
        <v/>
      </c>
      <c r="G197" t="str">
        <f t="shared" si="27"/>
        <v/>
      </c>
      <c r="H197" t="str">
        <f t="shared" si="28"/>
        <v/>
      </c>
      <c r="I197" t="str">
        <f t="shared" si="29"/>
        <v>Mixed</v>
      </c>
    </row>
    <row r="198" spans="5:9" x14ac:dyDescent="0.25">
      <c r="E198" t="str">
        <f>IF(AND(B19798=B197,A19798&gt;A197),C197,"")</f>
        <v/>
      </c>
      <c r="F198" t="str">
        <f>IF(AND(B19798=B197,A19798&gt;A197),D197,"")</f>
        <v/>
      </c>
      <c r="G198" t="str">
        <f t="shared" si="27"/>
        <v/>
      </c>
      <c r="H198" t="str">
        <f t="shared" si="28"/>
        <v/>
      </c>
      <c r="I198" t="str">
        <f t="shared" si="29"/>
        <v>Mixed</v>
      </c>
    </row>
    <row r="199" spans="5:9" x14ac:dyDescent="0.25">
      <c r="E199" t="str">
        <f>IF(AND(B19899=B198,A19899&gt;A198),C198,"")</f>
        <v/>
      </c>
      <c r="F199" t="str">
        <f>IF(AND(B19899=B198,A19899&gt;A198),D198,"")</f>
        <v/>
      </c>
      <c r="G199" t="str">
        <f t="shared" si="27"/>
        <v/>
      </c>
      <c r="H199" t="str">
        <f t="shared" si="28"/>
        <v/>
      </c>
      <c r="I199" t="str">
        <f t="shared" si="29"/>
        <v>Mixed</v>
      </c>
    </row>
    <row r="200" spans="5:9" x14ac:dyDescent="0.25">
      <c r="E200" t="str">
        <f>IF(AND(B200=B199,A200&gt;A199),C199,"")</f>
        <v/>
      </c>
      <c r="F200" t="str">
        <f>IF(AND(B200=B199,A200&gt;A199),D199,"")</f>
        <v/>
      </c>
      <c r="G200" t="str">
        <f t="shared" si="27"/>
        <v/>
      </c>
      <c r="H200" t="str">
        <f t="shared" si="28"/>
        <v/>
      </c>
      <c r="I200" t="str">
        <f t="shared" si="29"/>
        <v>Mixed</v>
      </c>
    </row>
    <row r="201" spans="5:9" x14ac:dyDescent="0.25">
      <c r="E201" t="str">
        <f>IF(AND(B20200=B200,A20200&gt;A200),C200,"")</f>
        <v/>
      </c>
      <c r="F201" t="str">
        <f>IF(AND(B20200=B200,A20200&gt;A200),D200,"")</f>
        <v/>
      </c>
      <c r="G201" t="str">
        <f t="shared" si="27"/>
        <v/>
      </c>
      <c r="H201" t="str">
        <f t="shared" si="28"/>
        <v/>
      </c>
      <c r="I201" t="str">
        <f t="shared" si="29"/>
        <v>Mixed</v>
      </c>
    </row>
    <row r="202" spans="5:9" x14ac:dyDescent="0.25">
      <c r="E202" t="str">
        <f t="shared" ref="E202:E209" si="30">IF(AND(B202=B201,A202&gt;A201),C201,"")</f>
        <v/>
      </c>
      <c r="F202" t="str">
        <f t="shared" ref="F202:F209" si="31">IF(AND(B202=B201,A202&gt;A201),D201,"")</f>
        <v/>
      </c>
      <c r="G202" t="str">
        <f t="shared" si="27"/>
        <v/>
      </c>
      <c r="H202" t="str">
        <f t="shared" si="28"/>
        <v/>
      </c>
      <c r="I202" t="str">
        <f t="shared" si="29"/>
        <v>Mixed</v>
      </c>
    </row>
    <row r="203" spans="5:9" x14ac:dyDescent="0.25">
      <c r="E203" t="str">
        <f t="shared" si="30"/>
        <v/>
      </c>
      <c r="F203" t="str">
        <f t="shared" si="31"/>
        <v/>
      </c>
      <c r="G203" t="str">
        <f t="shared" si="27"/>
        <v/>
      </c>
      <c r="H203" t="str">
        <f t="shared" si="28"/>
        <v/>
      </c>
      <c r="I203" t="str">
        <f t="shared" si="29"/>
        <v>Mixed</v>
      </c>
    </row>
    <row r="204" spans="5:9" x14ac:dyDescent="0.25">
      <c r="E204" t="str">
        <f t="shared" si="30"/>
        <v/>
      </c>
      <c r="F204" t="str">
        <f t="shared" si="31"/>
        <v/>
      </c>
      <c r="G204" t="str">
        <f t="shared" si="27"/>
        <v/>
      </c>
      <c r="H204" t="str">
        <f t="shared" si="28"/>
        <v/>
      </c>
      <c r="I204" t="str">
        <f t="shared" si="29"/>
        <v>Mixed</v>
      </c>
    </row>
    <row r="205" spans="5:9" x14ac:dyDescent="0.25">
      <c r="E205" t="str">
        <f t="shared" si="30"/>
        <v/>
      </c>
      <c r="F205" t="str">
        <f t="shared" si="31"/>
        <v/>
      </c>
      <c r="G205" t="str">
        <f t="shared" si="27"/>
        <v/>
      </c>
      <c r="H205" t="str">
        <f t="shared" si="28"/>
        <v/>
      </c>
      <c r="I205" t="str">
        <f t="shared" si="29"/>
        <v>Mixed</v>
      </c>
    </row>
    <row r="206" spans="5:9" x14ac:dyDescent="0.25">
      <c r="E206" t="str">
        <f t="shared" si="30"/>
        <v/>
      </c>
      <c r="F206" t="str">
        <f t="shared" si="31"/>
        <v/>
      </c>
      <c r="G206" t="str">
        <f t="shared" si="27"/>
        <v/>
      </c>
      <c r="H206" t="str">
        <f t="shared" si="28"/>
        <v/>
      </c>
      <c r="I206" t="str">
        <f t="shared" si="29"/>
        <v>Mixed</v>
      </c>
    </row>
    <row r="207" spans="5:9" x14ac:dyDescent="0.25">
      <c r="E207" t="str">
        <f t="shared" si="30"/>
        <v/>
      </c>
      <c r="F207" t="str">
        <f t="shared" si="31"/>
        <v/>
      </c>
      <c r="G207" t="str">
        <f t="shared" si="27"/>
        <v/>
      </c>
      <c r="H207" t="str">
        <f t="shared" si="28"/>
        <v/>
      </c>
      <c r="I207" t="str">
        <f t="shared" si="29"/>
        <v>Mixed</v>
      </c>
    </row>
    <row r="208" spans="5:9" x14ac:dyDescent="0.25">
      <c r="E208" t="str">
        <f t="shared" si="30"/>
        <v/>
      </c>
      <c r="F208" t="str">
        <f t="shared" si="31"/>
        <v/>
      </c>
      <c r="G208" t="str">
        <f t="shared" si="27"/>
        <v/>
      </c>
      <c r="H208" t="str">
        <f t="shared" si="28"/>
        <v/>
      </c>
      <c r="I208" t="str">
        <f t="shared" si="29"/>
        <v>Mixed</v>
      </c>
    </row>
    <row r="209" spans="5:9" x14ac:dyDescent="0.25">
      <c r="E209" t="str">
        <f t="shared" si="30"/>
        <v/>
      </c>
      <c r="F209" t="str">
        <f t="shared" si="31"/>
        <v/>
      </c>
      <c r="G209" t="str">
        <f t="shared" si="27"/>
        <v/>
      </c>
      <c r="H209" t="str">
        <f t="shared" si="28"/>
        <v/>
      </c>
      <c r="I209" t="str">
        <f t="shared" si="29"/>
        <v>Mixed</v>
      </c>
    </row>
    <row r="210" spans="5:9" x14ac:dyDescent="0.25">
      <c r="E210" t="str">
        <f>IF(AND(B22090=B209,A22090&gt;A209),C209,"")</f>
        <v/>
      </c>
      <c r="F210" t="str">
        <f>IF(AND(B22090=B209,A22090&gt;A209),D209,"")</f>
        <v/>
      </c>
      <c r="G210" t="str">
        <f t="shared" si="27"/>
        <v/>
      </c>
      <c r="H210" t="str">
        <f t="shared" si="28"/>
        <v/>
      </c>
      <c r="I210" t="str">
        <f t="shared" si="29"/>
        <v>Mixed</v>
      </c>
    </row>
    <row r="211" spans="5:9" x14ac:dyDescent="0.25">
      <c r="E211" t="e">
        <f>IF(AND(B2210210=B210,A2210210&gt;A210),C210,"")</f>
        <v>#NAME?</v>
      </c>
      <c r="F211" t="e">
        <f>IF(AND(B2210210=B210,A2210210&gt;A210),D210,"")</f>
        <v>#NAME?</v>
      </c>
      <c r="G211" t="e">
        <f t="shared" si="27"/>
        <v>#NAME?</v>
      </c>
      <c r="H211" t="e">
        <f t="shared" si="28"/>
        <v>#NAME?</v>
      </c>
      <c r="I211" t="e">
        <f t="shared" si="29"/>
        <v>#NAME?</v>
      </c>
    </row>
    <row r="212" spans="5:9" x14ac:dyDescent="0.25">
      <c r="E212" t="str">
        <f>IF(AND(B22112=B211,A22112&gt;A211),C211,"")</f>
        <v/>
      </c>
      <c r="F212" t="str">
        <f>IF(AND(B22112=B211,A22112&gt;A211),D211,"")</f>
        <v/>
      </c>
      <c r="G212" t="str">
        <f t="shared" si="27"/>
        <v/>
      </c>
      <c r="H212" t="str">
        <f t="shared" si="28"/>
        <v/>
      </c>
      <c r="I212" t="str">
        <f t="shared" si="29"/>
        <v>Mixed</v>
      </c>
    </row>
    <row r="213" spans="5:9" x14ac:dyDescent="0.25">
      <c r="E213" t="str">
        <f>IF(AND(B22123=B212,A22123&gt;A212),C212,"")</f>
        <v/>
      </c>
      <c r="F213" t="str">
        <f>IF(AND(B22123=B212,A22123&gt;A212),D212,"")</f>
        <v/>
      </c>
      <c r="G213" t="str">
        <f t="shared" si="27"/>
        <v/>
      </c>
      <c r="H213" t="str">
        <f t="shared" si="28"/>
        <v/>
      </c>
      <c r="I213" t="str">
        <f t="shared" si="29"/>
        <v>Mixed</v>
      </c>
    </row>
    <row r="214" spans="5:9" x14ac:dyDescent="0.25">
      <c r="E214" t="str">
        <f>IF(AND(B22134=B213,A22134&gt;A213),C213,"")</f>
        <v/>
      </c>
      <c r="F214" t="str">
        <f>IF(AND(B22134=B213,A22134&gt;A213),D213,"")</f>
        <v/>
      </c>
      <c r="G214" t="str">
        <f t="shared" si="27"/>
        <v/>
      </c>
      <c r="H214" t="str">
        <f t="shared" si="28"/>
        <v/>
      </c>
      <c r="I214" t="str">
        <f t="shared" si="29"/>
        <v>Mixed</v>
      </c>
    </row>
    <row r="215" spans="5:9" x14ac:dyDescent="0.25">
      <c r="E215" t="str">
        <f>IF(AND(B22145=B214,A22145&gt;A214),C214,"")</f>
        <v/>
      </c>
      <c r="F215" t="str">
        <f>IF(AND(B22145=B214,A22145&gt;A214),D214,"")</f>
        <v/>
      </c>
      <c r="G215" t="str">
        <f t="shared" si="27"/>
        <v/>
      </c>
      <c r="H215" t="str">
        <f t="shared" si="28"/>
        <v/>
      </c>
      <c r="I215" t="str">
        <f t="shared" si="29"/>
        <v>Mixed</v>
      </c>
    </row>
    <row r="216" spans="5:9" x14ac:dyDescent="0.25">
      <c r="E216" t="str">
        <f>IF(AND(B22156=B215,A22156&gt;A215),C215,"")</f>
        <v/>
      </c>
      <c r="F216" t="str">
        <f>IF(AND(B22156=B215,A22156&gt;A215),D215,"")</f>
        <v/>
      </c>
      <c r="G216" t="str">
        <f t="shared" si="27"/>
        <v/>
      </c>
      <c r="H216" t="str">
        <f t="shared" si="28"/>
        <v/>
      </c>
      <c r="I216" t="str">
        <f t="shared" si="29"/>
        <v>Mixed</v>
      </c>
    </row>
    <row r="217" spans="5:9" x14ac:dyDescent="0.25">
      <c r="E217" t="str">
        <f>IF(AND(B22167=B216,A22167&gt;A216),C216,"")</f>
        <v/>
      </c>
      <c r="F217" t="str">
        <f>IF(AND(B22167=B216,A22167&gt;A216),D216,"")</f>
        <v/>
      </c>
      <c r="G217" t="str">
        <f t="shared" si="27"/>
        <v/>
      </c>
      <c r="H217" t="str">
        <f t="shared" si="28"/>
        <v/>
      </c>
      <c r="I217" t="str">
        <f t="shared" si="29"/>
        <v>Mixed</v>
      </c>
    </row>
    <row r="218" spans="5:9" x14ac:dyDescent="0.25">
      <c r="E218" t="str">
        <f>IF(AND(B22178=B217,A22178&gt;A217),C217,"")</f>
        <v/>
      </c>
      <c r="F218" t="str">
        <f>IF(AND(B22178=B217,A22178&gt;A217),D217,"")</f>
        <v/>
      </c>
      <c r="G218" t="str">
        <f t="shared" si="27"/>
        <v/>
      </c>
      <c r="H218" t="str">
        <f t="shared" si="28"/>
        <v/>
      </c>
      <c r="I218" t="str">
        <f t="shared" si="29"/>
        <v>Mixed</v>
      </c>
    </row>
    <row r="219" spans="5:9" x14ac:dyDescent="0.25">
      <c r="E219" t="str">
        <f>IF(AND(B22189=B218,A22189&gt;A218),C218,"")</f>
        <v/>
      </c>
      <c r="F219" t="str">
        <f>IF(AND(B22189=B218,A22189&gt;A218),D218,"")</f>
        <v/>
      </c>
      <c r="G219" t="str">
        <f t="shared" si="27"/>
        <v/>
      </c>
      <c r="H219" t="str">
        <f t="shared" si="28"/>
        <v/>
      </c>
      <c r="I219" t="str">
        <f t="shared" si="29"/>
        <v>Mixed</v>
      </c>
    </row>
    <row r="220" spans="5:9" x14ac:dyDescent="0.25">
      <c r="E220" t="str">
        <f>IF(AND(B220=B219,A220&gt;A219),C219,"")</f>
        <v/>
      </c>
      <c r="F220" t="str">
        <f>IF(AND(B220=B219,A220&gt;A219),D219,"")</f>
        <v/>
      </c>
      <c r="G220" t="str">
        <f t="shared" si="27"/>
        <v/>
      </c>
      <c r="H220" t="str">
        <f t="shared" si="28"/>
        <v/>
      </c>
      <c r="I220" t="str">
        <f t="shared" si="29"/>
        <v>Mixed</v>
      </c>
    </row>
    <row r="221" spans="5:9" x14ac:dyDescent="0.25">
      <c r="E221" t="str">
        <f>IF(AND(B22220=B220,A22220&gt;A220),C220,"")</f>
        <v/>
      </c>
      <c r="F221" t="str">
        <f>IF(AND(B22220=B220,A22220&gt;A220),D220,"")</f>
        <v/>
      </c>
      <c r="G221" t="str">
        <f t="shared" si="27"/>
        <v/>
      </c>
      <c r="H221" t="str">
        <f t="shared" si="28"/>
        <v/>
      </c>
      <c r="I221" t="str">
        <f t="shared" si="29"/>
        <v>Mixed</v>
      </c>
    </row>
    <row r="222" spans="5:9" x14ac:dyDescent="0.25">
      <c r="E222" t="str">
        <f t="shared" ref="E222:E230" si="32">IF(AND(B222=B221,A222&gt;A221),C221,"")</f>
        <v/>
      </c>
      <c r="F222" t="str">
        <f t="shared" ref="F222:F230" si="33">IF(AND(B222=B221,A222&gt;A221),D221,"")</f>
        <v/>
      </c>
      <c r="G222" t="str">
        <f t="shared" si="27"/>
        <v/>
      </c>
      <c r="H222" t="str">
        <f t="shared" si="28"/>
        <v/>
      </c>
      <c r="I222" t="str">
        <f t="shared" si="29"/>
        <v>Mixed</v>
      </c>
    </row>
    <row r="223" spans="5:9" x14ac:dyDescent="0.25">
      <c r="E223" t="str">
        <f t="shared" si="32"/>
        <v/>
      </c>
      <c r="F223" t="str">
        <f t="shared" si="33"/>
        <v/>
      </c>
      <c r="G223" t="str">
        <f t="shared" si="27"/>
        <v/>
      </c>
      <c r="H223" t="str">
        <f t="shared" si="28"/>
        <v/>
      </c>
      <c r="I223" t="str">
        <f t="shared" si="29"/>
        <v>Mixed</v>
      </c>
    </row>
    <row r="224" spans="5:9" x14ac:dyDescent="0.25">
      <c r="E224" t="str">
        <f t="shared" si="32"/>
        <v/>
      </c>
      <c r="F224" t="str">
        <f t="shared" si="33"/>
        <v/>
      </c>
      <c r="G224" t="str">
        <f t="shared" si="27"/>
        <v/>
      </c>
      <c r="H224" t="str">
        <f t="shared" si="28"/>
        <v/>
      </c>
      <c r="I224" t="str">
        <f t="shared" si="29"/>
        <v>Mixed</v>
      </c>
    </row>
    <row r="225" spans="5:9" x14ac:dyDescent="0.25">
      <c r="E225" t="str">
        <f t="shared" si="32"/>
        <v/>
      </c>
      <c r="F225" t="str">
        <f t="shared" si="33"/>
        <v/>
      </c>
      <c r="G225" t="str">
        <f t="shared" si="27"/>
        <v/>
      </c>
      <c r="H225" t="str">
        <f t="shared" si="28"/>
        <v/>
      </c>
      <c r="I225" t="str">
        <f t="shared" si="29"/>
        <v>Mixed</v>
      </c>
    </row>
    <row r="226" spans="5:9" x14ac:dyDescent="0.25">
      <c r="E226" t="str">
        <f t="shared" si="32"/>
        <v/>
      </c>
      <c r="F226" t="str">
        <f t="shared" si="33"/>
        <v/>
      </c>
      <c r="G226" t="str">
        <f t="shared" si="27"/>
        <v/>
      </c>
      <c r="H226" t="str">
        <f t="shared" si="28"/>
        <v/>
      </c>
      <c r="I226" t="str">
        <f t="shared" si="29"/>
        <v>Mixed</v>
      </c>
    </row>
    <row r="227" spans="5:9" x14ac:dyDescent="0.25">
      <c r="E227" t="str">
        <f t="shared" si="32"/>
        <v/>
      </c>
      <c r="F227" t="str">
        <f t="shared" si="33"/>
        <v/>
      </c>
      <c r="G227" t="str">
        <f t="shared" si="27"/>
        <v/>
      </c>
      <c r="H227" t="str">
        <f t="shared" si="28"/>
        <v/>
      </c>
      <c r="I227" t="str">
        <f t="shared" si="29"/>
        <v>Mixed</v>
      </c>
    </row>
    <row r="228" spans="5:9" x14ac:dyDescent="0.25">
      <c r="E228" t="str">
        <f t="shared" si="32"/>
        <v/>
      </c>
      <c r="F228" t="str">
        <f t="shared" si="33"/>
        <v/>
      </c>
      <c r="G228" t="str">
        <f t="shared" si="27"/>
        <v/>
      </c>
      <c r="H228" t="str">
        <f t="shared" si="28"/>
        <v/>
      </c>
      <c r="I228" t="str">
        <f t="shared" si="29"/>
        <v>Mixed</v>
      </c>
    </row>
    <row r="229" spans="5:9" x14ac:dyDescent="0.25">
      <c r="E229" t="str">
        <f t="shared" si="32"/>
        <v/>
      </c>
      <c r="F229" t="str">
        <f t="shared" si="33"/>
        <v/>
      </c>
      <c r="G229" t="str">
        <f t="shared" si="27"/>
        <v/>
      </c>
      <c r="H229" t="str">
        <f t="shared" si="28"/>
        <v/>
      </c>
      <c r="I229" t="str">
        <f t="shared" si="29"/>
        <v>Mixed</v>
      </c>
    </row>
    <row r="230" spans="5:9" x14ac:dyDescent="0.25">
      <c r="E230" t="str">
        <f t="shared" si="32"/>
        <v/>
      </c>
      <c r="F230" t="str">
        <f t="shared" si="33"/>
        <v/>
      </c>
      <c r="G230" t="str">
        <f t="shared" si="27"/>
        <v/>
      </c>
      <c r="H230" t="str">
        <f t="shared" si="28"/>
        <v/>
      </c>
      <c r="I230" t="str">
        <f t="shared" si="29"/>
        <v>Mixed</v>
      </c>
    </row>
    <row r="231" spans="5:9" x14ac:dyDescent="0.25">
      <c r="E231" t="str">
        <f>IF(AND(B23230=B230,A23230&gt;A230),C230,"")</f>
        <v/>
      </c>
      <c r="F231" t="str">
        <f>IF(AND(B23230=B230,A23230&gt;A230),D230,"")</f>
        <v/>
      </c>
      <c r="G231" t="str">
        <f t="shared" si="27"/>
        <v/>
      </c>
      <c r="H231" t="str">
        <f t="shared" si="28"/>
        <v/>
      </c>
      <c r="I231" t="str">
        <f t="shared" si="29"/>
        <v>Mixed</v>
      </c>
    </row>
    <row r="232" spans="5:9" x14ac:dyDescent="0.25">
      <c r="E232" t="str">
        <f t="shared" ref="E232:E240" si="34">IF(AND(B232=B231,A232&gt;A231),C231,"")</f>
        <v/>
      </c>
      <c r="F232" t="str">
        <f t="shared" ref="F232:F240" si="35">IF(AND(B232=B231,A232&gt;A231),D231,"")</f>
        <v/>
      </c>
      <c r="G232" t="str">
        <f t="shared" si="27"/>
        <v/>
      </c>
      <c r="H232" t="str">
        <f t="shared" si="28"/>
        <v/>
      </c>
      <c r="I232" t="str">
        <f t="shared" si="29"/>
        <v>Mixed</v>
      </c>
    </row>
    <row r="233" spans="5:9" x14ac:dyDescent="0.25">
      <c r="E233" t="str">
        <f t="shared" si="34"/>
        <v/>
      </c>
      <c r="F233" t="str">
        <f t="shared" si="35"/>
        <v/>
      </c>
      <c r="G233" t="str">
        <f t="shared" si="27"/>
        <v/>
      </c>
      <c r="H233" t="str">
        <f t="shared" si="28"/>
        <v/>
      </c>
      <c r="I233" t="str">
        <f t="shared" si="29"/>
        <v>Mixed</v>
      </c>
    </row>
    <row r="234" spans="5:9" x14ac:dyDescent="0.25">
      <c r="E234" t="str">
        <f t="shared" si="34"/>
        <v/>
      </c>
      <c r="F234" t="str">
        <f t="shared" si="35"/>
        <v/>
      </c>
      <c r="G234" t="str">
        <f t="shared" si="27"/>
        <v/>
      </c>
      <c r="H234" t="str">
        <f t="shared" si="28"/>
        <v/>
      </c>
      <c r="I234" t="str">
        <f t="shared" si="29"/>
        <v>Mixed</v>
      </c>
    </row>
    <row r="235" spans="5:9" x14ac:dyDescent="0.25">
      <c r="E235" t="str">
        <f t="shared" si="34"/>
        <v/>
      </c>
      <c r="F235" t="str">
        <f t="shared" si="35"/>
        <v/>
      </c>
      <c r="G235" t="str">
        <f t="shared" si="27"/>
        <v/>
      </c>
      <c r="H235" t="str">
        <f t="shared" si="28"/>
        <v/>
      </c>
      <c r="I235" t="str">
        <f t="shared" si="29"/>
        <v>Mixed</v>
      </c>
    </row>
    <row r="236" spans="5:9" x14ac:dyDescent="0.25">
      <c r="E236" t="str">
        <f t="shared" si="34"/>
        <v/>
      </c>
      <c r="F236" t="str">
        <f t="shared" si="35"/>
        <v/>
      </c>
      <c r="G236" t="str">
        <f t="shared" si="27"/>
        <v/>
      </c>
      <c r="H236" t="str">
        <f t="shared" si="28"/>
        <v/>
      </c>
      <c r="I236" t="str">
        <f t="shared" si="29"/>
        <v>Mixed</v>
      </c>
    </row>
    <row r="237" spans="5:9" x14ac:dyDescent="0.25">
      <c r="E237" t="str">
        <f t="shared" si="34"/>
        <v/>
      </c>
      <c r="F237" t="str">
        <f t="shared" si="35"/>
        <v/>
      </c>
      <c r="G237" t="str">
        <f t="shared" si="27"/>
        <v/>
      </c>
      <c r="H237" t="str">
        <f t="shared" si="28"/>
        <v/>
      </c>
      <c r="I237" t="str">
        <f t="shared" si="29"/>
        <v>Mixed</v>
      </c>
    </row>
    <row r="238" spans="5:9" x14ac:dyDescent="0.25">
      <c r="E238" t="str">
        <f t="shared" si="34"/>
        <v/>
      </c>
      <c r="F238" t="str">
        <f t="shared" si="35"/>
        <v/>
      </c>
      <c r="G238" t="str">
        <f t="shared" si="27"/>
        <v/>
      </c>
      <c r="H238" t="str">
        <f t="shared" si="28"/>
        <v/>
      </c>
      <c r="I238" t="str">
        <f t="shared" si="29"/>
        <v>Mixed</v>
      </c>
    </row>
    <row r="239" spans="5:9" x14ac:dyDescent="0.25">
      <c r="E239" t="str">
        <f t="shared" si="34"/>
        <v/>
      </c>
      <c r="F239" t="str">
        <f t="shared" si="35"/>
        <v/>
      </c>
      <c r="G239" t="str">
        <f t="shared" si="27"/>
        <v/>
      </c>
      <c r="H239" t="str">
        <f t="shared" si="28"/>
        <v/>
      </c>
      <c r="I239" t="str">
        <f t="shared" si="29"/>
        <v>Mixed</v>
      </c>
    </row>
    <row r="240" spans="5:9" x14ac:dyDescent="0.25">
      <c r="E240" t="str">
        <f t="shared" si="34"/>
        <v/>
      </c>
      <c r="F240" t="str">
        <f t="shared" si="35"/>
        <v/>
      </c>
      <c r="G240" t="str">
        <f t="shared" si="27"/>
        <v/>
      </c>
      <c r="H240" t="str">
        <f t="shared" si="28"/>
        <v/>
      </c>
      <c r="I240" t="str">
        <f t="shared" si="29"/>
        <v>Mixed</v>
      </c>
    </row>
    <row r="241" spans="5:9" x14ac:dyDescent="0.25">
      <c r="E241" t="str">
        <f>IF(AND(B24240=B240,A24240&gt;A240),C240,"")</f>
        <v/>
      </c>
      <c r="F241" t="str">
        <f>IF(AND(B24240=B240,A24240&gt;A240),D240,"")</f>
        <v/>
      </c>
      <c r="G241" t="str">
        <f t="shared" si="27"/>
        <v/>
      </c>
      <c r="H241" t="str">
        <f t="shared" si="28"/>
        <v/>
      </c>
      <c r="I241" t="str">
        <f t="shared" si="29"/>
        <v>Mixed</v>
      </c>
    </row>
    <row r="242" spans="5:9" x14ac:dyDescent="0.25">
      <c r="E242" t="str">
        <f t="shared" ref="E242:E250" si="36">IF(AND(B242=B241,A242&gt;A241),C241,"")</f>
        <v/>
      </c>
      <c r="F242" t="str">
        <f t="shared" ref="F242:F250" si="37">IF(AND(B242=B241,A242&gt;A241),D241,"")</f>
        <v/>
      </c>
      <c r="G242" t="str">
        <f t="shared" si="27"/>
        <v/>
      </c>
      <c r="H242" t="str">
        <f t="shared" si="28"/>
        <v/>
      </c>
      <c r="I242" t="str">
        <f t="shared" si="29"/>
        <v>Mixed</v>
      </c>
    </row>
    <row r="243" spans="5:9" x14ac:dyDescent="0.25">
      <c r="E243" t="str">
        <f t="shared" si="36"/>
        <v/>
      </c>
      <c r="F243" t="str">
        <f t="shared" si="37"/>
        <v/>
      </c>
      <c r="G243" t="str">
        <f t="shared" si="27"/>
        <v/>
      </c>
      <c r="H243" t="str">
        <f t="shared" si="28"/>
        <v/>
      </c>
      <c r="I243" t="str">
        <f t="shared" si="29"/>
        <v>Mixed</v>
      </c>
    </row>
    <row r="244" spans="5:9" x14ac:dyDescent="0.25">
      <c r="E244" t="str">
        <f t="shared" si="36"/>
        <v/>
      </c>
      <c r="F244" t="str">
        <f t="shared" si="37"/>
        <v/>
      </c>
      <c r="G244" t="str">
        <f t="shared" si="27"/>
        <v/>
      </c>
      <c r="H244" t="str">
        <f t="shared" si="28"/>
        <v/>
      </c>
      <c r="I244" t="str">
        <f t="shared" si="29"/>
        <v>Mixed</v>
      </c>
    </row>
    <row r="245" spans="5:9" x14ac:dyDescent="0.25">
      <c r="E245" t="str">
        <f t="shared" si="36"/>
        <v/>
      </c>
      <c r="F245" t="str">
        <f t="shared" si="37"/>
        <v/>
      </c>
      <c r="G245" t="str">
        <f t="shared" si="27"/>
        <v/>
      </c>
      <c r="H245" t="str">
        <f t="shared" si="28"/>
        <v/>
      </c>
      <c r="I245" t="str">
        <f t="shared" si="29"/>
        <v>Mixed</v>
      </c>
    </row>
    <row r="246" spans="5:9" x14ac:dyDescent="0.25">
      <c r="E246" t="str">
        <f t="shared" si="36"/>
        <v/>
      </c>
      <c r="F246" t="str">
        <f t="shared" si="37"/>
        <v/>
      </c>
      <c r="G246" t="str">
        <f t="shared" si="27"/>
        <v/>
      </c>
      <c r="H246" t="str">
        <f t="shared" si="28"/>
        <v/>
      </c>
      <c r="I246" t="str">
        <f t="shared" si="29"/>
        <v>Mixed</v>
      </c>
    </row>
    <row r="247" spans="5:9" x14ac:dyDescent="0.25">
      <c r="E247" t="str">
        <f t="shared" si="36"/>
        <v/>
      </c>
      <c r="F247" t="str">
        <f t="shared" si="37"/>
        <v/>
      </c>
      <c r="G247" t="str">
        <f t="shared" si="27"/>
        <v/>
      </c>
      <c r="H247" t="str">
        <f t="shared" si="28"/>
        <v/>
      </c>
      <c r="I247" t="str">
        <f t="shared" si="29"/>
        <v>Mixed</v>
      </c>
    </row>
    <row r="248" spans="5:9" x14ac:dyDescent="0.25">
      <c r="E248" t="str">
        <f t="shared" si="36"/>
        <v/>
      </c>
      <c r="F248" t="str">
        <f t="shared" si="37"/>
        <v/>
      </c>
      <c r="G248" t="str">
        <f t="shared" si="27"/>
        <v/>
      </c>
      <c r="H248" t="str">
        <f t="shared" si="28"/>
        <v/>
      </c>
      <c r="I248" t="str">
        <f t="shared" si="29"/>
        <v>Mixed</v>
      </c>
    </row>
    <row r="249" spans="5:9" x14ac:dyDescent="0.25">
      <c r="E249" t="str">
        <f t="shared" si="36"/>
        <v/>
      </c>
      <c r="F249" t="str">
        <f t="shared" si="37"/>
        <v/>
      </c>
      <c r="G249" t="str">
        <f t="shared" si="27"/>
        <v/>
      </c>
      <c r="H249" t="str">
        <f t="shared" si="28"/>
        <v/>
      </c>
      <c r="I249" t="str">
        <f t="shared" si="29"/>
        <v>Mixed</v>
      </c>
    </row>
    <row r="250" spans="5:9" x14ac:dyDescent="0.25">
      <c r="E250" t="str">
        <f t="shared" si="36"/>
        <v/>
      </c>
      <c r="F250" t="str">
        <f t="shared" si="37"/>
        <v/>
      </c>
      <c r="G250" t="str">
        <f t="shared" si="27"/>
        <v/>
      </c>
      <c r="H250" t="str">
        <f t="shared" si="28"/>
        <v/>
      </c>
      <c r="I250" t="str">
        <f t="shared" si="29"/>
        <v>Mixed</v>
      </c>
    </row>
    <row r="251" spans="5:9" x14ac:dyDescent="0.25">
      <c r="E251" t="str">
        <f>IF(AND(B25250=B250,A25250&gt;A250),C250,"")</f>
        <v/>
      </c>
      <c r="F251" t="str">
        <f>IF(AND(B25250=B250,A25250&gt;A250),D250,"")</f>
        <v/>
      </c>
      <c r="G251" t="str">
        <f t="shared" si="27"/>
        <v/>
      </c>
      <c r="H251" t="str">
        <f t="shared" si="28"/>
        <v/>
      </c>
      <c r="I251" t="str">
        <f t="shared" si="29"/>
        <v>Mixed</v>
      </c>
    </row>
    <row r="252" spans="5:9" x14ac:dyDescent="0.25">
      <c r="E252" t="str">
        <f t="shared" ref="E252:E260" si="38">IF(AND(B252=B251,A252&gt;A251),C251,"")</f>
        <v/>
      </c>
      <c r="F252" t="str">
        <f t="shared" ref="F252:F260" si="39">IF(AND(B252=B251,A252&gt;A251),D251,"")</f>
        <v/>
      </c>
      <c r="G252" t="str">
        <f t="shared" si="27"/>
        <v/>
      </c>
      <c r="H252" t="str">
        <f t="shared" si="28"/>
        <v/>
      </c>
      <c r="I252" t="str">
        <f t="shared" si="29"/>
        <v>Mixed</v>
      </c>
    </row>
    <row r="253" spans="5:9" x14ac:dyDescent="0.25">
      <c r="E253" t="str">
        <f t="shared" si="38"/>
        <v/>
      </c>
      <c r="F253" t="str">
        <f t="shared" si="39"/>
        <v/>
      </c>
      <c r="G253" t="str">
        <f t="shared" si="27"/>
        <v/>
      </c>
      <c r="H253" t="str">
        <f t="shared" si="28"/>
        <v/>
      </c>
      <c r="I253" t="str">
        <f t="shared" si="29"/>
        <v>Mixed</v>
      </c>
    </row>
    <row r="254" spans="5:9" x14ac:dyDescent="0.25">
      <c r="E254" t="str">
        <f t="shared" si="38"/>
        <v/>
      </c>
      <c r="F254" t="str">
        <f t="shared" si="39"/>
        <v/>
      </c>
      <c r="G254" t="str">
        <f t="shared" si="27"/>
        <v/>
      </c>
      <c r="H254" t="str">
        <f t="shared" si="28"/>
        <v/>
      </c>
      <c r="I254" t="str">
        <f t="shared" si="29"/>
        <v>Mixed</v>
      </c>
    </row>
    <row r="255" spans="5:9" x14ac:dyDescent="0.25">
      <c r="E255" t="str">
        <f t="shared" si="38"/>
        <v/>
      </c>
      <c r="F255" t="str">
        <f t="shared" si="39"/>
        <v/>
      </c>
      <c r="G255" t="str">
        <f t="shared" si="27"/>
        <v/>
      </c>
      <c r="H255" t="str">
        <f t="shared" si="28"/>
        <v/>
      </c>
      <c r="I255" t="str">
        <f t="shared" si="29"/>
        <v>Mixed</v>
      </c>
    </row>
    <row r="256" spans="5:9" x14ac:dyDescent="0.25">
      <c r="E256" t="str">
        <f t="shared" si="38"/>
        <v/>
      </c>
      <c r="F256" t="str">
        <f t="shared" si="39"/>
        <v/>
      </c>
      <c r="G256" t="str">
        <f t="shared" si="27"/>
        <v/>
      </c>
      <c r="H256" t="str">
        <f t="shared" si="28"/>
        <v/>
      </c>
      <c r="I256" t="str">
        <f t="shared" si="29"/>
        <v>Mixed</v>
      </c>
    </row>
    <row r="257" spans="5:9" x14ac:dyDescent="0.25">
      <c r="E257" t="str">
        <f t="shared" si="38"/>
        <v/>
      </c>
      <c r="F257" t="str">
        <f t="shared" si="39"/>
        <v/>
      </c>
      <c r="G257" t="str">
        <f t="shared" si="27"/>
        <v/>
      </c>
      <c r="H257" t="str">
        <f t="shared" si="28"/>
        <v/>
      </c>
      <c r="I257" t="str">
        <f t="shared" si="29"/>
        <v>Mixed</v>
      </c>
    </row>
    <row r="258" spans="5:9" x14ac:dyDescent="0.25">
      <c r="E258" t="str">
        <f t="shared" si="38"/>
        <v/>
      </c>
      <c r="F258" t="str">
        <f t="shared" si="39"/>
        <v/>
      </c>
      <c r="G258" t="str">
        <f t="shared" ref="G258:G321" si="40">IF(E258="","",IF(C258&gt;E258,"Higher High",IF(C258&lt;E258,"Lower High","Flat")))</f>
        <v/>
      </c>
      <c r="H258" t="str">
        <f t="shared" ref="H258:H321" si="41">IF(F258="","",IF(D258&gt;F258,"Higher Low",IF(D258&lt;F258,"Lower Low","Flat")))</f>
        <v/>
      </c>
      <c r="I258" t="str">
        <f t="shared" ref="I258:I321" si="42">IF(AND(G258="Higher High",H258="Higher Low"),"Bullish",IF(AND(G258="Lower High",H258="Lower Low"),"Bearish","Mixed"))</f>
        <v>Mixed</v>
      </c>
    </row>
    <row r="259" spans="5:9" x14ac:dyDescent="0.25">
      <c r="E259" t="str">
        <f t="shared" si="38"/>
        <v/>
      </c>
      <c r="F259" t="str">
        <f t="shared" si="39"/>
        <v/>
      </c>
      <c r="G259" t="str">
        <f t="shared" si="40"/>
        <v/>
      </c>
      <c r="H259" t="str">
        <f t="shared" si="41"/>
        <v/>
      </c>
      <c r="I259" t="str">
        <f t="shared" si="42"/>
        <v>Mixed</v>
      </c>
    </row>
    <row r="260" spans="5:9" x14ac:dyDescent="0.25">
      <c r="E260" t="str">
        <f t="shared" si="38"/>
        <v/>
      </c>
      <c r="F260" t="str">
        <f t="shared" si="39"/>
        <v/>
      </c>
      <c r="G260" t="str">
        <f t="shared" si="40"/>
        <v/>
      </c>
      <c r="H260" t="str">
        <f t="shared" si="41"/>
        <v/>
      </c>
      <c r="I260" t="str">
        <f t="shared" si="42"/>
        <v>Mixed</v>
      </c>
    </row>
    <row r="261" spans="5:9" x14ac:dyDescent="0.25">
      <c r="E261" t="str">
        <f>IF(AND(B26260=B260,A26260&gt;A260),C260,"")</f>
        <v/>
      </c>
      <c r="F261" t="str">
        <f>IF(AND(B26260=B260,A26260&gt;A260),D260,"")</f>
        <v/>
      </c>
      <c r="G261" t="str">
        <f t="shared" si="40"/>
        <v/>
      </c>
      <c r="H261" t="str">
        <f t="shared" si="41"/>
        <v/>
      </c>
      <c r="I261" t="str">
        <f t="shared" si="42"/>
        <v>Mixed</v>
      </c>
    </row>
    <row r="262" spans="5:9" x14ac:dyDescent="0.25">
      <c r="E262" t="str">
        <f t="shared" ref="E262:E270" si="43">IF(AND(B262=B261,A262&gt;A261),C261,"")</f>
        <v/>
      </c>
      <c r="F262" t="str">
        <f t="shared" ref="F262:F270" si="44">IF(AND(B262=B261,A262&gt;A261),D261,"")</f>
        <v/>
      </c>
      <c r="G262" t="str">
        <f t="shared" si="40"/>
        <v/>
      </c>
      <c r="H262" t="str">
        <f t="shared" si="41"/>
        <v/>
      </c>
      <c r="I262" t="str">
        <f t="shared" si="42"/>
        <v>Mixed</v>
      </c>
    </row>
    <row r="263" spans="5:9" x14ac:dyDescent="0.25">
      <c r="E263" t="str">
        <f t="shared" si="43"/>
        <v/>
      </c>
      <c r="F263" t="str">
        <f t="shared" si="44"/>
        <v/>
      </c>
      <c r="G263" t="str">
        <f t="shared" si="40"/>
        <v/>
      </c>
      <c r="H263" t="str">
        <f t="shared" si="41"/>
        <v/>
      </c>
      <c r="I263" t="str">
        <f t="shared" si="42"/>
        <v>Mixed</v>
      </c>
    </row>
    <row r="264" spans="5:9" x14ac:dyDescent="0.25">
      <c r="E264" t="str">
        <f t="shared" si="43"/>
        <v/>
      </c>
      <c r="F264" t="str">
        <f t="shared" si="44"/>
        <v/>
      </c>
      <c r="G264" t="str">
        <f t="shared" si="40"/>
        <v/>
      </c>
      <c r="H264" t="str">
        <f t="shared" si="41"/>
        <v/>
      </c>
      <c r="I264" t="str">
        <f t="shared" si="42"/>
        <v>Mixed</v>
      </c>
    </row>
    <row r="265" spans="5:9" x14ac:dyDescent="0.25">
      <c r="E265" t="str">
        <f t="shared" si="43"/>
        <v/>
      </c>
      <c r="F265" t="str">
        <f t="shared" si="44"/>
        <v/>
      </c>
      <c r="G265" t="str">
        <f t="shared" si="40"/>
        <v/>
      </c>
      <c r="H265" t="str">
        <f t="shared" si="41"/>
        <v/>
      </c>
      <c r="I265" t="str">
        <f t="shared" si="42"/>
        <v>Mixed</v>
      </c>
    </row>
    <row r="266" spans="5:9" x14ac:dyDescent="0.25">
      <c r="E266" t="str">
        <f t="shared" si="43"/>
        <v/>
      </c>
      <c r="F266" t="str">
        <f t="shared" si="44"/>
        <v/>
      </c>
      <c r="G266" t="str">
        <f t="shared" si="40"/>
        <v/>
      </c>
      <c r="H266" t="str">
        <f t="shared" si="41"/>
        <v/>
      </c>
      <c r="I266" t="str">
        <f t="shared" si="42"/>
        <v>Mixed</v>
      </c>
    </row>
    <row r="267" spans="5:9" x14ac:dyDescent="0.25">
      <c r="E267" t="str">
        <f t="shared" si="43"/>
        <v/>
      </c>
      <c r="F267" t="str">
        <f t="shared" si="44"/>
        <v/>
      </c>
      <c r="G267" t="str">
        <f t="shared" si="40"/>
        <v/>
      </c>
      <c r="H267" t="str">
        <f t="shared" si="41"/>
        <v/>
      </c>
      <c r="I267" t="str">
        <f t="shared" si="42"/>
        <v>Mixed</v>
      </c>
    </row>
    <row r="268" spans="5:9" x14ac:dyDescent="0.25">
      <c r="E268" t="str">
        <f t="shared" si="43"/>
        <v/>
      </c>
      <c r="F268" t="str">
        <f t="shared" si="44"/>
        <v/>
      </c>
      <c r="G268" t="str">
        <f t="shared" si="40"/>
        <v/>
      </c>
      <c r="H268" t="str">
        <f t="shared" si="41"/>
        <v/>
      </c>
      <c r="I268" t="str">
        <f t="shared" si="42"/>
        <v>Mixed</v>
      </c>
    </row>
    <row r="269" spans="5:9" x14ac:dyDescent="0.25">
      <c r="E269" t="str">
        <f t="shared" si="43"/>
        <v/>
      </c>
      <c r="F269" t="str">
        <f t="shared" si="44"/>
        <v/>
      </c>
      <c r="G269" t="str">
        <f t="shared" si="40"/>
        <v/>
      </c>
      <c r="H269" t="str">
        <f t="shared" si="41"/>
        <v/>
      </c>
      <c r="I269" t="str">
        <f t="shared" si="42"/>
        <v>Mixed</v>
      </c>
    </row>
    <row r="270" spans="5:9" x14ac:dyDescent="0.25">
      <c r="E270" t="str">
        <f t="shared" si="43"/>
        <v/>
      </c>
      <c r="F270" t="str">
        <f t="shared" si="44"/>
        <v/>
      </c>
      <c r="G270" t="str">
        <f t="shared" si="40"/>
        <v/>
      </c>
      <c r="H270" t="str">
        <f t="shared" si="41"/>
        <v/>
      </c>
      <c r="I270" t="str">
        <f t="shared" si="42"/>
        <v>Mixed</v>
      </c>
    </row>
    <row r="271" spans="5:9" x14ac:dyDescent="0.25">
      <c r="E271" t="str">
        <f>IF(AND(B27270=B270,A27270&gt;A270),C270,"")</f>
        <v/>
      </c>
      <c r="F271" t="str">
        <f>IF(AND(B27270=B270,A27270&gt;A270),D270,"")</f>
        <v/>
      </c>
      <c r="G271" t="str">
        <f t="shared" si="40"/>
        <v/>
      </c>
      <c r="H271" t="str">
        <f t="shared" si="41"/>
        <v/>
      </c>
      <c r="I271" t="str">
        <f t="shared" si="42"/>
        <v>Mixed</v>
      </c>
    </row>
    <row r="272" spans="5:9" x14ac:dyDescent="0.25">
      <c r="E272" t="str">
        <f t="shared" ref="E272:E280" si="45">IF(AND(B272=B271,A272&gt;A271),C271,"")</f>
        <v/>
      </c>
      <c r="F272" t="str">
        <f t="shared" ref="F272:F280" si="46">IF(AND(B272=B271,A272&gt;A271),D271,"")</f>
        <v/>
      </c>
      <c r="G272" t="str">
        <f t="shared" si="40"/>
        <v/>
      </c>
      <c r="H272" t="str">
        <f t="shared" si="41"/>
        <v/>
      </c>
      <c r="I272" t="str">
        <f t="shared" si="42"/>
        <v>Mixed</v>
      </c>
    </row>
    <row r="273" spans="5:9" x14ac:dyDescent="0.25">
      <c r="E273" t="str">
        <f t="shared" si="45"/>
        <v/>
      </c>
      <c r="F273" t="str">
        <f t="shared" si="46"/>
        <v/>
      </c>
      <c r="G273" t="str">
        <f t="shared" si="40"/>
        <v/>
      </c>
      <c r="H273" t="str">
        <f t="shared" si="41"/>
        <v/>
      </c>
      <c r="I273" t="str">
        <f t="shared" si="42"/>
        <v>Mixed</v>
      </c>
    </row>
    <row r="274" spans="5:9" x14ac:dyDescent="0.25">
      <c r="E274" t="str">
        <f t="shared" si="45"/>
        <v/>
      </c>
      <c r="F274" t="str">
        <f t="shared" si="46"/>
        <v/>
      </c>
      <c r="G274" t="str">
        <f t="shared" si="40"/>
        <v/>
      </c>
      <c r="H274" t="str">
        <f t="shared" si="41"/>
        <v/>
      </c>
      <c r="I274" t="str">
        <f t="shared" si="42"/>
        <v>Mixed</v>
      </c>
    </row>
    <row r="275" spans="5:9" x14ac:dyDescent="0.25">
      <c r="E275" t="str">
        <f t="shared" si="45"/>
        <v/>
      </c>
      <c r="F275" t="str">
        <f t="shared" si="46"/>
        <v/>
      </c>
      <c r="G275" t="str">
        <f t="shared" si="40"/>
        <v/>
      </c>
      <c r="H275" t="str">
        <f t="shared" si="41"/>
        <v/>
      </c>
      <c r="I275" t="str">
        <f t="shared" si="42"/>
        <v>Mixed</v>
      </c>
    </row>
    <row r="276" spans="5:9" x14ac:dyDescent="0.25">
      <c r="E276" t="str">
        <f t="shared" si="45"/>
        <v/>
      </c>
      <c r="F276" t="str">
        <f t="shared" si="46"/>
        <v/>
      </c>
      <c r="G276" t="str">
        <f t="shared" si="40"/>
        <v/>
      </c>
      <c r="H276" t="str">
        <f t="shared" si="41"/>
        <v/>
      </c>
      <c r="I276" t="str">
        <f t="shared" si="42"/>
        <v>Mixed</v>
      </c>
    </row>
    <row r="277" spans="5:9" x14ac:dyDescent="0.25">
      <c r="E277" t="str">
        <f t="shared" si="45"/>
        <v/>
      </c>
      <c r="F277" t="str">
        <f t="shared" si="46"/>
        <v/>
      </c>
      <c r="G277" t="str">
        <f t="shared" si="40"/>
        <v/>
      </c>
      <c r="H277" t="str">
        <f t="shared" si="41"/>
        <v/>
      </c>
      <c r="I277" t="str">
        <f t="shared" si="42"/>
        <v>Mixed</v>
      </c>
    </row>
    <row r="278" spans="5:9" x14ac:dyDescent="0.25">
      <c r="E278" t="str">
        <f t="shared" si="45"/>
        <v/>
      </c>
      <c r="F278" t="str">
        <f t="shared" si="46"/>
        <v/>
      </c>
      <c r="G278" t="str">
        <f t="shared" si="40"/>
        <v/>
      </c>
      <c r="H278" t="str">
        <f t="shared" si="41"/>
        <v/>
      </c>
      <c r="I278" t="str">
        <f t="shared" si="42"/>
        <v>Mixed</v>
      </c>
    </row>
    <row r="279" spans="5:9" x14ac:dyDescent="0.25">
      <c r="E279" t="str">
        <f t="shared" si="45"/>
        <v/>
      </c>
      <c r="F279" t="str">
        <f t="shared" si="46"/>
        <v/>
      </c>
      <c r="G279" t="str">
        <f t="shared" si="40"/>
        <v/>
      </c>
      <c r="H279" t="str">
        <f t="shared" si="41"/>
        <v/>
      </c>
      <c r="I279" t="str">
        <f t="shared" si="42"/>
        <v>Mixed</v>
      </c>
    </row>
    <row r="280" spans="5:9" x14ac:dyDescent="0.25">
      <c r="E280" t="str">
        <f t="shared" si="45"/>
        <v/>
      </c>
      <c r="F280" t="str">
        <f t="shared" si="46"/>
        <v/>
      </c>
      <c r="G280" t="str">
        <f t="shared" si="40"/>
        <v/>
      </c>
      <c r="H280" t="str">
        <f t="shared" si="41"/>
        <v/>
      </c>
      <c r="I280" t="str">
        <f t="shared" si="42"/>
        <v>Mixed</v>
      </c>
    </row>
    <row r="281" spans="5:9" x14ac:dyDescent="0.25">
      <c r="E281" t="str">
        <f>IF(AND(B28280=B280,A28280&gt;A280),C280,"")</f>
        <v/>
      </c>
      <c r="F281" t="str">
        <f>IF(AND(B28280=B280,A28280&gt;A280),D280,"")</f>
        <v/>
      </c>
      <c r="G281" t="str">
        <f t="shared" si="40"/>
        <v/>
      </c>
      <c r="H281" t="str">
        <f t="shared" si="41"/>
        <v/>
      </c>
      <c r="I281" t="str">
        <f t="shared" si="42"/>
        <v>Mixed</v>
      </c>
    </row>
    <row r="282" spans="5:9" x14ac:dyDescent="0.25">
      <c r="E282" t="str">
        <f t="shared" ref="E282:E290" si="47">IF(AND(B282=B281,A282&gt;A281),C281,"")</f>
        <v/>
      </c>
      <c r="F282" t="str">
        <f t="shared" ref="F282:F290" si="48">IF(AND(B282=B281,A282&gt;A281),D281,"")</f>
        <v/>
      </c>
      <c r="G282" t="str">
        <f t="shared" si="40"/>
        <v/>
      </c>
      <c r="H282" t="str">
        <f t="shared" si="41"/>
        <v/>
      </c>
      <c r="I282" t="str">
        <f t="shared" si="42"/>
        <v>Mixed</v>
      </c>
    </row>
    <row r="283" spans="5:9" x14ac:dyDescent="0.25">
      <c r="E283" t="str">
        <f t="shared" si="47"/>
        <v/>
      </c>
      <c r="F283" t="str">
        <f t="shared" si="48"/>
        <v/>
      </c>
      <c r="G283" t="str">
        <f t="shared" si="40"/>
        <v/>
      </c>
      <c r="H283" t="str">
        <f t="shared" si="41"/>
        <v/>
      </c>
      <c r="I283" t="str">
        <f t="shared" si="42"/>
        <v>Mixed</v>
      </c>
    </row>
    <row r="284" spans="5:9" x14ac:dyDescent="0.25">
      <c r="E284" t="str">
        <f t="shared" si="47"/>
        <v/>
      </c>
      <c r="F284" t="str">
        <f t="shared" si="48"/>
        <v/>
      </c>
      <c r="G284" t="str">
        <f t="shared" si="40"/>
        <v/>
      </c>
      <c r="H284" t="str">
        <f t="shared" si="41"/>
        <v/>
      </c>
      <c r="I284" t="str">
        <f t="shared" si="42"/>
        <v>Mixed</v>
      </c>
    </row>
    <row r="285" spans="5:9" x14ac:dyDescent="0.25">
      <c r="E285" t="str">
        <f t="shared" si="47"/>
        <v/>
      </c>
      <c r="F285" t="str">
        <f t="shared" si="48"/>
        <v/>
      </c>
      <c r="G285" t="str">
        <f t="shared" si="40"/>
        <v/>
      </c>
      <c r="H285" t="str">
        <f t="shared" si="41"/>
        <v/>
      </c>
      <c r="I285" t="str">
        <f t="shared" si="42"/>
        <v>Mixed</v>
      </c>
    </row>
    <row r="286" spans="5:9" x14ac:dyDescent="0.25">
      <c r="E286" t="str">
        <f t="shared" si="47"/>
        <v/>
      </c>
      <c r="F286" t="str">
        <f t="shared" si="48"/>
        <v/>
      </c>
      <c r="G286" t="str">
        <f t="shared" si="40"/>
        <v/>
      </c>
      <c r="H286" t="str">
        <f t="shared" si="41"/>
        <v/>
      </c>
      <c r="I286" t="str">
        <f t="shared" si="42"/>
        <v>Mixed</v>
      </c>
    </row>
    <row r="287" spans="5:9" x14ac:dyDescent="0.25">
      <c r="E287" t="str">
        <f t="shared" si="47"/>
        <v/>
      </c>
      <c r="F287" t="str">
        <f t="shared" si="48"/>
        <v/>
      </c>
      <c r="G287" t="str">
        <f t="shared" si="40"/>
        <v/>
      </c>
      <c r="H287" t="str">
        <f t="shared" si="41"/>
        <v/>
      </c>
      <c r="I287" t="str">
        <f t="shared" si="42"/>
        <v>Mixed</v>
      </c>
    </row>
    <row r="288" spans="5:9" x14ac:dyDescent="0.25">
      <c r="E288" t="str">
        <f t="shared" si="47"/>
        <v/>
      </c>
      <c r="F288" t="str">
        <f t="shared" si="48"/>
        <v/>
      </c>
      <c r="G288" t="str">
        <f t="shared" si="40"/>
        <v/>
      </c>
      <c r="H288" t="str">
        <f t="shared" si="41"/>
        <v/>
      </c>
      <c r="I288" t="str">
        <f t="shared" si="42"/>
        <v>Mixed</v>
      </c>
    </row>
    <row r="289" spans="5:9" x14ac:dyDescent="0.25">
      <c r="E289" t="str">
        <f t="shared" si="47"/>
        <v/>
      </c>
      <c r="F289" t="str">
        <f t="shared" si="48"/>
        <v/>
      </c>
      <c r="G289" t="str">
        <f t="shared" si="40"/>
        <v/>
      </c>
      <c r="H289" t="str">
        <f t="shared" si="41"/>
        <v/>
      </c>
      <c r="I289" t="str">
        <f t="shared" si="42"/>
        <v>Mixed</v>
      </c>
    </row>
    <row r="290" spans="5:9" x14ac:dyDescent="0.25">
      <c r="E290" t="str">
        <f t="shared" si="47"/>
        <v/>
      </c>
      <c r="F290" t="str">
        <f t="shared" si="48"/>
        <v/>
      </c>
      <c r="G290" t="str">
        <f t="shared" si="40"/>
        <v/>
      </c>
      <c r="H290" t="str">
        <f t="shared" si="41"/>
        <v/>
      </c>
      <c r="I290" t="str">
        <f t="shared" si="42"/>
        <v>Mixed</v>
      </c>
    </row>
    <row r="291" spans="5:9" x14ac:dyDescent="0.25">
      <c r="E291" t="str">
        <f>IF(AND(B29290=B290,A29290&gt;A290),C290,"")</f>
        <v/>
      </c>
      <c r="F291" t="str">
        <f>IF(AND(B29290=B290,A29290&gt;A290),D290,"")</f>
        <v/>
      </c>
      <c r="G291" t="str">
        <f t="shared" si="40"/>
        <v/>
      </c>
      <c r="H291" t="str">
        <f t="shared" si="41"/>
        <v/>
      </c>
      <c r="I291" t="str">
        <f t="shared" si="42"/>
        <v>Mixed</v>
      </c>
    </row>
    <row r="292" spans="5:9" x14ac:dyDescent="0.25">
      <c r="E292" t="str">
        <f t="shared" ref="E292:E300" si="49">IF(AND(B292=B291,A292&gt;A291),C291,"")</f>
        <v/>
      </c>
      <c r="F292" t="str">
        <f t="shared" ref="F292:F300" si="50">IF(AND(B292=B291,A292&gt;A291),D291,"")</f>
        <v/>
      </c>
      <c r="G292" t="str">
        <f t="shared" si="40"/>
        <v/>
      </c>
      <c r="H292" t="str">
        <f t="shared" si="41"/>
        <v/>
      </c>
      <c r="I292" t="str">
        <f t="shared" si="42"/>
        <v>Mixed</v>
      </c>
    </row>
    <row r="293" spans="5:9" x14ac:dyDescent="0.25">
      <c r="E293" t="str">
        <f t="shared" si="49"/>
        <v/>
      </c>
      <c r="F293" t="str">
        <f t="shared" si="50"/>
        <v/>
      </c>
      <c r="G293" t="str">
        <f t="shared" si="40"/>
        <v/>
      </c>
      <c r="H293" t="str">
        <f t="shared" si="41"/>
        <v/>
      </c>
      <c r="I293" t="str">
        <f t="shared" si="42"/>
        <v>Mixed</v>
      </c>
    </row>
    <row r="294" spans="5:9" x14ac:dyDescent="0.25">
      <c r="E294" t="str">
        <f t="shared" si="49"/>
        <v/>
      </c>
      <c r="F294" t="str">
        <f t="shared" si="50"/>
        <v/>
      </c>
      <c r="G294" t="str">
        <f t="shared" si="40"/>
        <v/>
      </c>
      <c r="H294" t="str">
        <f t="shared" si="41"/>
        <v/>
      </c>
      <c r="I294" t="str">
        <f t="shared" si="42"/>
        <v>Mixed</v>
      </c>
    </row>
    <row r="295" spans="5:9" x14ac:dyDescent="0.25">
      <c r="E295" t="str">
        <f t="shared" si="49"/>
        <v/>
      </c>
      <c r="F295" t="str">
        <f t="shared" si="50"/>
        <v/>
      </c>
      <c r="G295" t="str">
        <f t="shared" si="40"/>
        <v/>
      </c>
      <c r="H295" t="str">
        <f t="shared" si="41"/>
        <v/>
      </c>
      <c r="I295" t="str">
        <f t="shared" si="42"/>
        <v>Mixed</v>
      </c>
    </row>
    <row r="296" spans="5:9" x14ac:dyDescent="0.25">
      <c r="E296" t="str">
        <f t="shared" si="49"/>
        <v/>
      </c>
      <c r="F296" t="str">
        <f t="shared" si="50"/>
        <v/>
      </c>
      <c r="G296" t="str">
        <f t="shared" si="40"/>
        <v/>
      </c>
      <c r="H296" t="str">
        <f t="shared" si="41"/>
        <v/>
      </c>
      <c r="I296" t="str">
        <f t="shared" si="42"/>
        <v>Mixed</v>
      </c>
    </row>
    <row r="297" spans="5:9" x14ac:dyDescent="0.25">
      <c r="E297" t="str">
        <f t="shared" si="49"/>
        <v/>
      </c>
      <c r="F297" t="str">
        <f t="shared" si="50"/>
        <v/>
      </c>
      <c r="G297" t="str">
        <f t="shared" si="40"/>
        <v/>
      </c>
      <c r="H297" t="str">
        <f t="shared" si="41"/>
        <v/>
      </c>
      <c r="I297" t="str">
        <f t="shared" si="42"/>
        <v>Mixed</v>
      </c>
    </row>
    <row r="298" spans="5:9" x14ac:dyDescent="0.25">
      <c r="E298" t="str">
        <f t="shared" si="49"/>
        <v/>
      </c>
      <c r="F298" t="str">
        <f t="shared" si="50"/>
        <v/>
      </c>
      <c r="G298" t="str">
        <f t="shared" si="40"/>
        <v/>
      </c>
      <c r="H298" t="str">
        <f t="shared" si="41"/>
        <v/>
      </c>
      <c r="I298" t="str">
        <f t="shared" si="42"/>
        <v>Mixed</v>
      </c>
    </row>
    <row r="299" spans="5:9" x14ac:dyDescent="0.25">
      <c r="E299" t="str">
        <f t="shared" si="49"/>
        <v/>
      </c>
      <c r="F299" t="str">
        <f t="shared" si="50"/>
        <v/>
      </c>
      <c r="G299" t="str">
        <f t="shared" si="40"/>
        <v/>
      </c>
      <c r="H299" t="str">
        <f t="shared" si="41"/>
        <v/>
      </c>
      <c r="I299" t="str">
        <f t="shared" si="42"/>
        <v>Mixed</v>
      </c>
    </row>
    <row r="300" spans="5:9" x14ac:dyDescent="0.25">
      <c r="E300" t="str">
        <f t="shared" si="49"/>
        <v/>
      </c>
      <c r="F300" t="str">
        <f t="shared" si="50"/>
        <v/>
      </c>
      <c r="G300" t="str">
        <f t="shared" si="40"/>
        <v/>
      </c>
      <c r="H300" t="str">
        <f t="shared" si="41"/>
        <v/>
      </c>
      <c r="I300" t="str">
        <f t="shared" si="42"/>
        <v>Mixed</v>
      </c>
    </row>
    <row r="301" spans="5:9" x14ac:dyDescent="0.25">
      <c r="E301" t="str">
        <f>IF(AND(B30300=B300,A30300&gt;A300),C300,"")</f>
        <v/>
      </c>
      <c r="F301" t="str">
        <f>IF(AND(B30300=B300,A30300&gt;A300),D300,"")</f>
        <v/>
      </c>
      <c r="G301" t="str">
        <f t="shared" si="40"/>
        <v/>
      </c>
      <c r="H301" t="str">
        <f t="shared" si="41"/>
        <v/>
      </c>
      <c r="I301" t="str">
        <f t="shared" si="42"/>
        <v>Mixed</v>
      </c>
    </row>
    <row r="302" spans="5:9" x14ac:dyDescent="0.25">
      <c r="E302" t="str">
        <f t="shared" ref="E302:E309" si="51">IF(AND(B302=B301,A302&gt;A301),C301,"")</f>
        <v/>
      </c>
      <c r="F302" t="str">
        <f t="shared" ref="F302:F309" si="52">IF(AND(B302=B301,A302&gt;A301),D301,"")</f>
        <v/>
      </c>
      <c r="G302" t="str">
        <f t="shared" si="40"/>
        <v/>
      </c>
      <c r="H302" t="str">
        <f t="shared" si="41"/>
        <v/>
      </c>
      <c r="I302" t="str">
        <f t="shared" si="42"/>
        <v>Mixed</v>
      </c>
    </row>
    <row r="303" spans="5:9" x14ac:dyDescent="0.25">
      <c r="E303" t="str">
        <f t="shared" si="51"/>
        <v/>
      </c>
      <c r="F303" t="str">
        <f t="shared" si="52"/>
        <v/>
      </c>
      <c r="G303" t="str">
        <f t="shared" si="40"/>
        <v/>
      </c>
      <c r="H303" t="str">
        <f t="shared" si="41"/>
        <v/>
      </c>
      <c r="I303" t="str">
        <f t="shared" si="42"/>
        <v>Mixed</v>
      </c>
    </row>
    <row r="304" spans="5:9" x14ac:dyDescent="0.25">
      <c r="E304" t="str">
        <f t="shared" si="51"/>
        <v/>
      </c>
      <c r="F304" t="str">
        <f t="shared" si="52"/>
        <v/>
      </c>
      <c r="G304" t="str">
        <f t="shared" si="40"/>
        <v/>
      </c>
      <c r="H304" t="str">
        <f t="shared" si="41"/>
        <v/>
      </c>
      <c r="I304" t="str">
        <f t="shared" si="42"/>
        <v>Mixed</v>
      </c>
    </row>
    <row r="305" spans="5:9" x14ac:dyDescent="0.25">
      <c r="E305" t="str">
        <f t="shared" si="51"/>
        <v/>
      </c>
      <c r="F305" t="str">
        <f t="shared" si="52"/>
        <v/>
      </c>
      <c r="G305" t="str">
        <f t="shared" si="40"/>
        <v/>
      </c>
      <c r="H305" t="str">
        <f t="shared" si="41"/>
        <v/>
      </c>
      <c r="I305" t="str">
        <f t="shared" si="42"/>
        <v>Mixed</v>
      </c>
    </row>
    <row r="306" spans="5:9" x14ac:dyDescent="0.25">
      <c r="E306" t="str">
        <f t="shared" si="51"/>
        <v/>
      </c>
      <c r="F306" t="str">
        <f t="shared" si="52"/>
        <v/>
      </c>
      <c r="G306" t="str">
        <f t="shared" si="40"/>
        <v/>
      </c>
      <c r="H306" t="str">
        <f t="shared" si="41"/>
        <v/>
      </c>
      <c r="I306" t="str">
        <f t="shared" si="42"/>
        <v>Mixed</v>
      </c>
    </row>
    <row r="307" spans="5:9" x14ac:dyDescent="0.25">
      <c r="E307" t="str">
        <f t="shared" si="51"/>
        <v/>
      </c>
      <c r="F307" t="str">
        <f t="shared" si="52"/>
        <v/>
      </c>
      <c r="G307" t="str">
        <f t="shared" si="40"/>
        <v/>
      </c>
      <c r="H307" t="str">
        <f t="shared" si="41"/>
        <v/>
      </c>
      <c r="I307" t="str">
        <f t="shared" si="42"/>
        <v>Mixed</v>
      </c>
    </row>
    <row r="308" spans="5:9" x14ac:dyDescent="0.25">
      <c r="E308" t="str">
        <f t="shared" si="51"/>
        <v/>
      </c>
      <c r="F308" t="str">
        <f t="shared" si="52"/>
        <v/>
      </c>
      <c r="G308" t="str">
        <f t="shared" si="40"/>
        <v/>
      </c>
      <c r="H308" t="str">
        <f t="shared" si="41"/>
        <v/>
      </c>
      <c r="I308" t="str">
        <f t="shared" si="42"/>
        <v>Mixed</v>
      </c>
    </row>
    <row r="309" spans="5:9" x14ac:dyDescent="0.25">
      <c r="E309" t="str">
        <f t="shared" si="51"/>
        <v/>
      </c>
      <c r="F309" t="str">
        <f t="shared" si="52"/>
        <v/>
      </c>
      <c r="G309" t="str">
        <f t="shared" si="40"/>
        <v/>
      </c>
      <c r="H309" t="str">
        <f t="shared" si="41"/>
        <v/>
      </c>
      <c r="I309" t="str">
        <f t="shared" si="42"/>
        <v>Mixed</v>
      </c>
    </row>
    <row r="310" spans="5:9" x14ac:dyDescent="0.25">
      <c r="E310" t="str">
        <f>IF(AND(B33090=B309,A33090&gt;A309),C309,"")</f>
        <v/>
      </c>
      <c r="F310" t="str">
        <f>IF(AND(B33090=B309,A33090&gt;A309),D309,"")</f>
        <v/>
      </c>
      <c r="G310" t="str">
        <f t="shared" si="40"/>
        <v/>
      </c>
      <c r="H310" t="str">
        <f t="shared" si="41"/>
        <v/>
      </c>
      <c r="I310" t="str">
        <f t="shared" si="42"/>
        <v>Mixed</v>
      </c>
    </row>
    <row r="311" spans="5:9" x14ac:dyDescent="0.25">
      <c r="E311" t="e">
        <f>IF(AND(B3310310=B310,A3310310&gt;A310),C310,"")</f>
        <v>#NAME?</v>
      </c>
      <c r="F311" t="e">
        <f>IF(AND(B3310310=B310,A3310310&gt;A310),D310,"")</f>
        <v>#NAME?</v>
      </c>
      <c r="G311" t="e">
        <f t="shared" si="40"/>
        <v>#NAME?</v>
      </c>
      <c r="H311" t="e">
        <f t="shared" si="41"/>
        <v>#NAME?</v>
      </c>
      <c r="I311" t="e">
        <f t="shared" si="42"/>
        <v>#NAME?</v>
      </c>
    </row>
    <row r="312" spans="5:9" x14ac:dyDescent="0.25">
      <c r="E312" t="str">
        <f>IF(AND(B33112=B311,A33112&gt;A311),C311,"")</f>
        <v/>
      </c>
      <c r="F312" t="str">
        <f>IF(AND(B33112=B311,A33112&gt;A311),D311,"")</f>
        <v/>
      </c>
      <c r="G312" t="str">
        <f t="shared" si="40"/>
        <v/>
      </c>
      <c r="H312" t="str">
        <f t="shared" si="41"/>
        <v/>
      </c>
      <c r="I312" t="str">
        <f t="shared" si="42"/>
        <v>Mixed</v>
      </c>
    </row>
    <row r="313" spans="5:9" x14ac:dyDescent="0.25">
      <c r="E313" t="str">
        <f>IF(AND(B33123=B312,A33123&gt;A312),C312,"")</f>
        <v/>
      </c>
      <c r="F313" t="str">
        <f>IF(AND(B33123=B312,A33123&gt;A312),D312,"")</f>
        <v/>
      </c>
      <c r="G313" t="str">
        <f t="shared" si="40"/>
        <v/>
      </c>
      <c r="H313" t="str">
        <f t="shared" si="41"/>
        <v/>
      </c>
      <c r="I313" t="str">
        <f t="shared" si="42"/>
        <v>Mixed</v>
      </c>
    </row>
    <row r="314" spans="5:9" x14ac:dyDescent="0.25">
      <c r="E314" t="str">
        <f>IF(AND(B33134=B313,A33134&gt;A313),C313,"")</f>
        <v/>
      </c>
      <c r="F314" t="str">
        <f>IF(AND(B33134=B313,A33134&gt;A313),D313,"")</f>
        <v/>
      </c>
      <c r="G314" t="str">
        <f t="shared" si="40"/>
        <v/>
      </c>
      <c r="H314" t="str">
        <f t="shared" si="41"/>
        <v/>
      </c>
      <c r="I314" t="str">
        <f t="shared" si="42"/>
        <v>Mixed</v>
      </c>
    </row>
    <row r="315" spans="5:9" x14ac:dyDescent="0.25">
      <c r="E315" t="str">
        <f>IF(AND(B33145=B314,A33145&gt;A314),C314,"")</f>
        <v/>
      </c>
      <c r="F315" t="str">
        <f>IF(AND(B33145=B314,A33145&gt;A314),D314,"")</f>
        <v/>
      </c>
      <c r="G315" t="str">
        <f t="shared" si="40"/>
        <v/>
      </c>
      <c r="H315" t="str">
        <f t="shared" si="41"/>
        <v/>
      </c>
      <c r="I315" t="str">
        <f t="shared" si="42"/>
        <v>Mixed</v>
      </c>
    </row>
    <row r="316" spans="5:9" x14ac:dyDescent="0.25">
      <c r="E316" t="str">
        <f>IF(AND(B33156=B315,A33156&gt;A315),C315,"")</f>
        <v/>
      </c>
      <c r="F316" t="str">
        <f>IF(AND(B33156=B315,A33156&gt;A315),D315,"")</f>
        <v/>
      </c>
      <c r="G316" t="str">
        <f t="shared" si="40"/>
        <v/>
      </c>
      <c r="H316" t="str">
        <f t="shared" si="41"/>
        <v/>
      </c>
      <c r="I316" t="str">
        <f t="shared" si="42"/>
        <v>Mixed</v>
      </c>
    </row>
    <row r="317" spans="5:9" x14ac:dyDescent="0.25">
      <c r="E317" t="str">
        <f>IF(AND(B33167=B316,A33167&gt;A316),C316,"")</f>
        <v/>
      </c>
      <c r="F317" t="str">
        <f>IF(AND(B33167=B316,A33167&gt;A316),D316,"")</f>
        <v/>
      </c>
      <c r="G317" t="str">
        <f t="shared" si="40"/>
        <v/>
      </c>
      <c r="H317" t="str">
        <f t="shared" si="41"/>
        <v/>
      </c>
      <c r="I317" t="str">
        <f t="shared" si="42"/>
        <v>Mixed</v>
      </c>
    </row>
    <row r="318" spans="5:9" x14ac:dyDescent="0.25">
      <c r="E318" t="str">
        <f>IF(AND(B33178=B317,A33178&gt;A317),C317,"")</f>
        <v/>
      </c>
      <c r="F318" t="str">
        <f>IF(AND(B33178=B317,A33178&gt;A317),D317,"")</f>
        <v/>
      </c>
      <c r="G318" t="str">
        <f t="shared" si="40"/>
        <v/>
      </c>
      <c r="H318" t="str">
        <f t="shared" si="41"/>
        <v/>
      </c>
      <c r="I318" t="str">
        <f t="shared" si="42"/>
        <v>Mixed</v>
      </c>
    </row>
    <row r="319" spans="5:9" x14ac:dyDescent="0.25">
      <c r="E319" t="str">
        <f>IF(AND(B33189=B318,A33189&gt;A318),C318,"")</f>
        <v/>
      </c>
      <c r="F319" t="str">
        <f>IF(AND(B33189=B318,A33189&gt;A318),D318,"")</f>
        <v/>
      </c>
      <c r="G319" t="str">
        <f t="shared" si="40"/>
        <v/>
      </c>
      <c r="H319" t="str">
        <f t="shared" si="41"/>
        <v/>
      </c>
      <c r="I319" t="str">
        <f t="shared" si="42"/>
        <v>Mixed</v>
      </c>
    </row>
    <row r="320" spans="5:9" x14ac:dyDescent="0.25">
      <c r="E320" t="str">
        <f>IF(AND(B320=B319,A320&gt;A319),C319,"")</f>
        <v/>
      </c>
      <c r="F320" t="str">
        <f>IF(AND(B320=B319,A320&gt;A319),D319,"")</f>
        <v/>
      </c>
      <c r="G320" t="str">
        <f t="shared" si="40"/>
        <v/>
      </c>
      <c r="H320" t="str">
        <f t="shared" si="41"/>
        <v/>
      </c>
      <c r="I320" t="str">
        <f t="shared" si="42"/>
        <v>Mixed</v>
      </c>
    </row>
    <row r="321" spans="5:9" x14ac:dyDescent="0.25">
      <c r="E321" t="str">
        <f>IF(AND(B32320=B320,A32320&gt;A320),C320,"")</f>
        <v/>
      </c>
      <c r="F321" t="str">
        <f>IF(AND(B32320=B320,A32320&gt;A320),D320,"")</f>
        <v/>
      </c>
      <c r="G321" t="str">
        <f t="shared" si="40"/>
        <v/>
      </c>
      <c r="H321" t="str">
        <f t="shared" si="41"/>
        <v/>
      </c>
      <c r="I321" t="str">
        <f t="shared" si="42"/>
        <v>Mixed</v>
      </c>
    </row>
    <row r="322" spans="5:9" x14ac:dyDescent="0.25">
      <c r="E322" t="str">
        <f t="shared" ref="E322:E330" si="53">IF(AND(B322=B321,A322&gt;A321),C321,"")</f>
        <v/>
      </c>
      <c r="F322" t="str">
        <f t="shared" ref="F322:F330" si="54">IF(AND(B322=B321,A322&gt;A321),D321,"")</f>
        <v/>
      </c>
      <c r="G322" t="str">
        <f t="shared" ref="G322:G385" si="55">IF(E322="","",IF(C322&gt;E322,"Higher High",IF(C322&lt;E322,"Lower High","Flat")))</f>
        <v/>
      </c>
      <c r="H322" t="str">
        <f t="shared" ref="H322:H385" si="56">IF(F322="","",IF(D322&gt;F322,"Higher Low",IF(D322&lt;F322,"Lower Low","Flat")))</f>
        <v/>
      </c>
      <c r="I322" t="str">
        <f t="shared" ref="I322:I385" si="57">IF(AND(G322="Higher High",H322="Higher Low"),"Bullish",IF(AND(G322="Lower High",H322="Lower Low"),"Bearish","Mixed"))</f>
        <v>Mixed</v>
      </c>
    </row>
    <row r="323" spans="5:9" x14ac:dyDescent="0.25">
      <c r="E323" t="str">
        <f t="shared" si="53"/>
        <v/>
      </c>
      <c r="F323" t="str">
        <f t="shared" si="54"/>
        <v/>
      </c>
      <c r="G323" t="str">
        <f t="shared" si="55"/>
        <v/>
      </c>
      <c r="H323" t="str">
        <f t="shared" si="56"/>
        <v/>
      </c>
      <c r="I323" t="str">
        <f t="shared" si="57"/>
        <v>Mixed</v>
      </c>
    </row>
    <row r="324" spans="5:9" x14ac:dyDescent="0.25">
      <c r="E324" t="str">
        <f t="shared" si="53"/>
        <v/>
      </c>
      <c r="F324" t="str">
        <f t="shared" si="54"/>
        <v/>
      </c>
      <c r="G324" t="str">
        <f t="shared" si="55"/>
        <v/>
      </c>
      <c r="H324" t="str">
        <f t="shared" si="56"/>
        <v/>
      </c>
      <c r="I324" t="str">
        <f t="shared" si="57"/>
        <v>Mixed</v>
      </c>
    </row>
    <row r="325" spans="5:9" x14ac:dyDescent="0.25">
      <c r="E325" t="str">
        <f t="shared" si="53"/>
        <v/>
      </c>
      <c r="F325" t="str">
        <f t="shared" si="54"/>
        <v/>
      </c>
      <c r="G325" t="str">
        <f t="shared" si="55"/>
        <v/>
      </c>
      <c r="H325" t="str">
        <f t="shared" si="56"/>
        <v/>
      </c>
      <c r="I325" t="str">
        <f t="shared" si="57"/>
        <v>Mixed</v>
      </c>
    </row>
    <row r="326" spans="5:9" x14ac:dyDescent="0.25">
      <c r="E326" t="str">
        <f t="shared" si="53"/>
        <v/>
      </c>
      <c r="F326" t="str">
        <f t="shared" si="54"/>
        <v/>
      </c>
      <c r="G326" t="str">
        <f t="shared" si="55"/>
        <v/>
      </c>
      <c r="H326" t="str">
        <f t="shared" si="56"/>
        <v/>
      </c>
      <c r="I326" t="str">
        <f t="shared" si="57"/>
        <v>Mixed</v>
      </c>
    </row>
    <row r="327" spans="5:9" x14ac:dyDescent="0.25">
      <c r="E327" t="str">
        <f t="shared" si="53"/>
        <v/>
      </c>
      <c r="F327" t="str">
        <f t="shared" si="54"/>
        <v/>
      </c>
      <c r="G327" t="str">
        <f t="shared" si="55"/>
        <v/>
      </c>
      <c r="H327" t="str">
        <f t="shared" si="56"/>
        <v/>
      </c>
      <c r="I327" t="str">
        <f t="shared" si="57"/>
        <v>Mixed</v>
      </c>
    </row>
    <row r="328" spans="5:9" x14ac:dyDescent="0.25">
      <c r="E328" t="str">
        <f t="shared" si="53"/>
        <v/>
      </c>
      <c r="F328" t="str">
        <f t="shared" si="54"/>
        <v/>
      </c>
      <c r="G328" t="str">
        <f t="shared" si="55"/>
        <v/>
      </c>
      <c r="H328" t="str">
        <f t="shared" si="56"/>
        <v/>
      </c>
      <c r="I328" t="str">
        <f t="shared" si="57"/>
        <v>Mixed</v>
      </c>
    </row>
    <row r="329" spans="5:9" x14ac:dyDescent="0.25">
      <c r="E329" t="str">
        <f t="shared" si="53"/>
        <v/>
      </c>
      <c r="F329" t="str">
        <f t="shared" si="54"/>
        <v/>
      </c>
      <c r="G329" t="str">
        <f t="shared" si="55"/>
        <v/>
      </c>
      <c r="H329" t="str">
        <f t="shared" si="56"/>
        <v/>
      </c>
      <c r="I329" t="str">
        <f t="shared" si="57"/>
        <v>Mixed</v>
      </c>
    </row>
    <row r="330" spans="5:9" x14ac:dyDescent="0.25">
      <c r="E330" t="str">
        <f t="shared" si="53"/>
        <v/>
      </c>
      <c r="F330" t="str">
        <f t="shared" si="54"/>
        <v/>
      </c>
      <c r="G330" t="str">
        <f t="shared" si="55"/>
        <v/>
      </c>
      <c r="H330" t="str">
        <f t="shared" si="56"/>
        <v/>
      </c>
      <c r="I330" t="str">
        <f t="shared" si="57"/>
        <v>Mixed</v>
      </c>
    </row>
    <row r="331" spans="5:9" x14ac:dyDescent="0.25">
      <c r="E331" t="str">
        <f>IF(AND(B33330=B330,A33330&gt;A330),C330,"")</f>
        <v/>
      </c>
      <c r="F331" t="str">
        <f>IF(AND(B33330=B330,A33330&gt;A330),D330,"")</f>
        <v/>
      </c>
      <c r="G331" t="str">
        <f t="shared" si="55"/>
        <v/>
      </c>
      <c r="H331" t="str">
        <f t="shared" si="56"/>
        <v/>
      </c>
      <c r="I331" t="str">
        <f t="shared" si="57"/>
        <v>Mixed</v>
      </c>
    </row>
    <row r="332" spans="5:9" x14ac:dyDescent="0.25">
      <c r="E332" t="str">
        <f t="shared" ref="E332:E340" si="58">IF(AND(B332=B331,A332&gt;A331),C331,"")</f>
        <v/>
      </c>
      <c r="F332" t="str">
        <f t="shared" ref="F332:F340" si="59">IF(AND(B332=B331,A332&gt;A331),D331,"")</f>
        <v/>
      </c>
      <c r="G332" t="str">
        <f t="shared" si="55"/>
        <v/>
      </c>
      <c r="H332" t="str">
        <f t="shared" si="56"/>
        <v/>
      </c>
      <c r="I332" t="str">
        <f t="shared" si="57"/>
        <v>Mixed</v>
      </c>
    </row>
    <row r="333" spans="5:9" x14ac:dyDescent="0.25">
      <c r="E333" t="str">
        <f t="shared" si="58"/>
        <v/>
      </c>
      <c r="F333" t="str">
        <f t="shared" si="59"/>
        <v/>
      </c>
      <c r="G333" t="str">
        <f t="shared" si="55"/>
        <v/>
      </c>
      <c r="H333" t="str">
        <f t="shared" si="56"/>
        <v/>
      </c>
      <c r="I333" t="str">
        <f t="shared" si="57"/>
        <v>Mixed</v>
      </c>
    </row>
    <row r="334" spans="5:9" x14ac:dyDescent="0.25">
      <c r="E334" t="str">
        <f t="shared" si="58"/>
        <v/>
      </c>
      <c r="F334" t="str">
        <f t="shared" si="59"/>
        <v/>
      </c>
      <c r="G334" t="str">
        <f t="shared" si="55"/>
        <v/>
      </c>
      <c r="H334" t="str">
        <f t="shared" si="56"/>
        <v/>
      </c>
      <c r="I334" t="str">
        <f t="shared" si="57"/>
        <v>Mixed</v>
      </c>
    </row>
    <row r="335" spans="5:9" x14ac:dyDescent="0.25">
      <c r="E335" t="str">
        <f t="shared" si="58"/>
        <v/>
      </c>
      <c r="F335" t="str">
        <f t="shared" si="59"/>
        <v/>
      </c>
      <c r="G335" t="str">
        <f t="shared" si="55"/>
        <v/>
      </c>
      <c r="H335" t="str">
        <f t="shared" si="56"/>
        <v/>
      </c>
      <c r="I335" t="str">
        <f t="shared" si="57"/>
        <v>Mixed</v>
      </c>
    </row>
    <row r="336" spans="5:9" x14ac:dyDescent="0.25">
      <c r="E336" t="str">
        <f t="shared" si="58"/>
        <v/>
      </c>
      <c r="F336" t="str">
        <f t="shared" si="59"/>
        <v/>
      </c>
      <c r="G336" t="str">
        <f t="shared" si="55"/>
        <v/>
      </c>
      <c r="H336" t="str">
        <f t="shared" si="56"/>
        <v/>
      </c>
      <c r="I336" t="str">
        <f t="shared" si="57"/>
        <v>Mixed</v>
      </c>
    </row>
    <row r="337" spans="5:9" x14ac:dyDescent="0.25">
      <c r="E337" t="str">
        <f t="shared" si="58"/>
        <v/>
      </c>
      <c r="F337" t="str">
        <f t="shared" si="59"/>
        <v/>
      </c>
      <c r="G337" t="str">
        <f t="shared" si="55"/>
        <v/>
      </c>
      <c r="H337" t="str">
        <f t="shared" si="56"/>
        <v/>
      </c>
      <c r="I337" t="str">
        <f t="shared" si="57"/>
        <v>Mixed</v>
      </c>
    </row>
    <row r="338" spans="5:9" x14ac:dyDescent="0.25">
      <c r="E338" t="str">
        <f t="shared" si="58"/>
        <v/>
      </c>
      <c r="F338" t="str">
        <f t="shared" si="59"/>
        <v/>
      </c>
      <c r="G338" t="str">
        <f t="shared" si="55"/>
        <v/>
      </c>
      <c r="H338" t="str">
        <f t="shared" si="56"/>
        <v/>
      </c>
      <c r="I338" t="str">
        <f t="shared" si="57"/>
        <v>Mixed</v>
      </c>
    </row>
    <row r="339" spans="5:9" x14ac:dyDescent="0.25">
      <c r="E339" t="str">
        <f t="shared" si="58"/>
        <v/>
      </c>
      <c r="F339" t="str">
        <f t="shared" si="59"/>
        <v/>
      </c>
      <c r="G339" t="str">
        <f t="shared" si="55"/>
        <v/>
      </c>
      <c r="H339" t="str">
        <f t="shared" si="56"/>
        <v/>
      </c>
      <c r="I339" t="str">
        <f t="shared" si="57"/>
        <v>Mixed</v>
      </c>
    </row>
    <row r="340" spans="5:9" x14ac:dyDescent="0.25">
      <c r="E340" t="str">
        <f t="shared" si="58"/>
        <v/>
      </c>
      <c r="F340" t="str">
        <f t="shared" si="59"/>
        <v/>
      </c>
      <c r="G340" t="str">
        <f t="shared" si="55"/>
        <v/>
      </c>
      <c r="H340" t="str">
        <f t="shared" si="56"/>
        <v/>
      </c>
      <c r="I340" t="str">
        <f t="shared" si="57"/>
        <v>Mixed</v>
      </c>
    </row>
    <row r="341" spans="5:9" x14ac:dyDescent="0.25">
      <c r="E341" t="str">
        <f>IF(AND(B34340=B340,A34340&gt;A340),C340,"")</f>
        <v/>
      </c>
      <c r="F341" t="str">
        <f>IF(AND(B34340=B340,A34340&gt;A340),D340,"")</f>
        <v/>
      </c>
      <c r="G341" t="str">
        <f t="shared" si="55"/>
        <v/>
      </c>
      <c r="H341" t="str">
        <f t="shared" si="56"/>
        <v/>
      </c>
      <c r="I341" t="str">
        <f t="shared" si="57"/>
        <v>Mixed</v>
      </c>
    </row>
    <row r="342" spans="5:9" x14ac:dyDescent="0.25">
      <c r="E342" t="str">
        <f t="shared" ref="E342:E350" si="60">IF(AND(B342=B341,A342&gt;A341),C341,"")</f>
        <v/>
      </c>
      <c r="F342" t="str">
        <f t="shared" ref="F342:F350" si="61">IF(AND(B342=B341,A342&gt;A341),D341,"")</f>
        <v/>
      </c>
      <c r="G342" t="str">
        <f t="shared" si="55"/>
        <v/>
      </c>
      <c r="H342" t="str">
        <f t="shared" si="56"/>
        <v/>
      </c>
      <c r="I342" t="str">
        <f t="shared" si="57"/>
        <v>Mixed</v>
      </c>
    </row>
    <row r="343" spans="5:9" x14ac:dyDescent="0.25">
      <c r="E343" t="str">
        <f t="shared" si="60"/>
        <v/>
      </c>
      <c r="F343" t="str">
        <f t="shared" si="61"/>
        <v/>
      </c>
      <c r="G343" t="str">
        <f t="shared" si="55"/>
        <v/>
      </c>
      <c r="H343" t="str">
        <f t="shared" si="56"/>
        <v/>
      </c>
      <c r="I343" t="str">
        <f t="shared" si="57"/>
        <v>Mixed</v>
      </c>
    </row>
    <row r="344" spans="5:9" x14ac:dyDescent="0.25">
      <c r="E344" t="str">
        <f t="shared" si="60"/>
        <v/>
      </c>
      <c r="F344" t="str">
        <f t="shared" si="61"/>
        <v/>
      </c>
      <c r="G344" t="str">
        <f t="shared" si="55"/>
        <v/>
      </c>
      <c r="H344" t="str">
        <f t="shared" si="56"/>
        <v/>
      </c>
      <c r="I344" t="str">
        <f t="shared" si="57"/>
        <v>Mixed</v>
      </c>
    </row>
    <row r="345" spans="5:9" x14ac:dyDescent="0.25">
      <c r="E345" t="str">
        <f t="shared" si="60"/>
        <v/>
      </c>
      <c r="F345" t="str">
        <f t="shared" si="61"/>
        <v/>
      </c>
      <c r="G345" t="str">
        <f t="shared" si="55"/>
        <v/>
      </c>
      <c r="H345" t="str">
        <f t="shared" si="56"/>
        <v/>
      </c>
      <c r="I345" t="str">
        <f t="shared" si="57"/>
        <v>Mixed</v>
      </c>
    </row>
    <row r="346" spans="5:9" x14ac:dyDescent="0.25">
      <c r="E346" t="str">
        <f t="shared" si="60"/>
        <v/>
      </c>
      <c r="F346" t="str">
        <f t="shared" si="61"/>
        <v/>
      </c>
      <c r="G346" t="str">
        <f t="shared" si="55"/>
        <v/>
      </c>
      <c r="H346" t="str">
        <f t="shared" si="56"/>
        <v/>
      </c>
      <c r="I346" t="str">
        <f t="shared" si="57"/>
        <v>Mixed</v>
      </c>
    </row>
    <row r="347" spans="5:9" x14ac:dyDescent="0.25">
      <c r="E347" t="str">
        <f t="shared" si="60"/>
        <v/>
      </c>
      <c r="F347" t="str">
        <f t="shared" si="61"/>
        <v/>
      </c>
      <c r="G347" t="str">
        <f t="shared" si="55"/>
        <v/>
      </c>
      <c r="H347" t="str">
        <f t="shared" si="56"/>
        <v/>
      </c>
      <c r="I347" t="str">
        <f t="shared" si="57"/>
        <v>Mixed</v>
      </c>
    </row>
    <row r="348" spans="5:9" x14ac:dyDescent="0.25">
      <c r="E348" t="str">
        <f t="shared" si="60"/>
        <v/>
      </c>
      <c r="F348" t="str">
        <f t="shared" si="61"/>
        <v/>
      </c>
      <c r="G348" t="str">
        <f t="shared" si="55"/>
        <v/>
      </c>
      <c r="H348" t="str">
        <f t="shared" si="56"/>
        <v/>
      </c>
      <c r="I348" t="str">
        <f t="shared" si="57"/>
        <v>Mixed</v>
      </c>
    </row>
    <row r="349" spans="5:9" x14ac:dyDescent="0.25">
      <c r="E349" t="str">
        <f t="shared" si="60"/>
        <v/>
      </c>
      <c r="F349" t="str">
        <f t="shared" si="61"/>
        <v/>
      </c>
      <c r="G349" t="str">
        <f t="shared" si="55"/>
        <v/>
      </c>
      <c r="H349" t="str">
        <f t="shared" si="56"/>
        <v/>
      </c>
      <c r="I349" t="str">
        <f t="shared" si="57"/>
        <v>Mixed</v>
      </c>
    </row>
    <row r="350" spans="5:9" x14ac:dyDescent="0.25">
      <c r="E350" t="str">
        <f t="shared" si="60"/>
        <v/>
      </c>
      <c r="F350" t="str">
        <f t="shared" si="61"/>
        <v/>
      </c>
      <c r="G350" t="str">
        <f t="shared" si="55"/>
        <v/>
      </c>
      <c r="H350" t="str">
        <f t="shared" si="56"/>
        <v/>
      </c>
      <c r="I350" t="str">
        <f t="shared" si="57"/>
        <v>Mixed</v>
      </c>
    </row>
    <row r="351" spans="5:9" x14ac:dyDescent="0.25">
      <c r="E351" t="str">
        <f>IF(AND(B35350=B350,A35350&gt;A350),C350,"")</f>
        <v/>
      </c>
      <c r="F351" t="str">
        <f>IF(AND(B35350=B350,A35350&gt;A350),D350,"")</f>
        <v/>
      </c>
      <c r="G351" t="str">
        <f t="shared" si="55"/>
        <v/>
      </c>
      <c r="H351" t="str">
        <f t="shared" si="56"/>
        <v/>
      </c>
      <c r="I351" t="str">
        <f t="shared" si="57"/>
        <v>Mixed</v>
      </c>
    </row>
    <row r="352" spans="5:9" x14ac:dyDescent="0.25">
      <c r="E352" t="str">
        <f t="shared" ref="E352:E360" si="62">IF(AND(B352=B351,A352&gt;A351),C351,"")</f>
        <v/>
      </c>
      <c r="F352" t="str">
        <f t="shared" ref="F352:F360" si="63">IF(AND(B352=B351,A352&gt;A351),D351,"")</f>
        <v/>
      </c>
      <c r="G352" t="str">
        <f t="shared" si="55"/>
        <v/>
      </c>
      <c r="H352" t="str">
        <f t="shared" si="56"/>
        <v/>
      </c>
      <c r="I352" t="str">
        <f t="shared" si="57"/>
        <v>Mixed</v>
      </c>
    </row>
    <row r="353" spans="5:9" x14ac:dyDescent="0.25">
      <c r="E353" t="str">
        <f t="shared" si="62"/>
        <v/>
      </c>
      <c r="F353" t="str">
        <f t="shared" si="63"/>
        <v/>
      </c>
      <c r="G353" t="str">
        <f t="shared" si="55"/>
        <v/>
      </c>
      <c r="H353" t="str">
        <f t="shared" si="56"/>
        <v/>
      </c>
      <c r="I353" t="str">
        <f t="shared" si="57"/>
        <v>Mixed</v>
      </c>
    </row>
    <row r="354" spans="5:9" x14ac:dyDescent="0.25">
      <c r="E354" t="str">
        <f t="shared" si="62"/>
        <v/>
      </c>
      <c r="F354" t="str">
        <f t="shared" si="63"/>
        <v/>
      </c>
      <c r="G354" t="str">
        <f t="shared" si="55"/>
        <v/>
      </c>
      <c r="H354" t="str">
        <f t="shared" si="56"/>
        <v/>
      </c>
      <c r="I354" t="str">
        <f t="shared" si="57"/>
        <v>Mixed</v>
      </c>
    </row>
    <row r="355" spans="5:9" x14ac:dyDescent="0.25">
      <c r="E355" t="str">
        <f t="shared" si="62"/>
        <v/>
      </c>
      <c r="F355" t="str">
        <f t="shared" si="63"/>
        <v/>
      </c>
      <c r="G355" t="str">
        <f t="shared" si="55"/>
        <v/>
      </c>
      <c r="H355" t="str">
        <f t="shared" si="56"/>
        <v/>
      </c>
      <c r="I355" t="str">
        <f t="shared" si="57"/>
        <v>Mixed</v>
      </c>
    </row>
    <row r="356" spans="5:9" x14ac:dyDescent="0.25">
      <c r="E356" t="str">
        <f t="shared" si="62"/>
        <v/>
      </c>
      <c r="F356" t="str">
        <f t="shared" si="63"/>
        <v/>
      </c>
      <c r="G356" t="str">
        <f t="shared" si="55"/>
        <v/>
      </c>
      <c r="H356" t="str">
        <f t="shared" si="56"/>
        <v/>
      </c>
      <c r="I356" t="str">
        <f t="shared" si="57"/>
        <v>Mixed</v>
      </c>
    </row>
    <row r="357" spans="5:9" x14ac:dyDescent="0.25">
      <c r="E357" t="str">
        <f t="shared" si="62"/>
        <v/>
      </c>
      <c r="F357" t="str">
        <f t="shared" si="63"/>
        <v/>
      </c>
      <c r="G357" t="str">
        <f t="shared" si="55"/>
        <v/>
      </c>
      <c r="H357" t="str">
        <f t="shared" si="56"/>
        <v/>
      </c>
      <c r="I357" t="str">
        <f t="shared" si="57"/>
        <v>Mixed</v>
      </c>
    </row>
    <row r="358" spans="5:9" x14ac:dyDescent="0.25">
      <c r="E358" t="str">
        <f t="shared" si="62"/>
        <v/>
      </c>
      <c r="F358" t="str">
        <f t="shared" si="63"/>
        <v/>
      </c>
      <c r="G358" t="str">
        <f t="shared" si="55"/>
        <v/>
      </c>
      <c r="H358" t="str">
        <f t="shared" si="56"/>
        <v/>
      </c>
      <c r="I358" t="str">
        <f t="shared" si="57"/>
        <v>Mixed</v>
      </c>
    </row>
    <row r="359" spans="5:9" x14ac:dyDescent="0.25">
      <c r="E359" t="str">
        <f t="shared" si="62"/>
        <v/>
      </c>
      <c r="F359" t="str">
        <f t="shared" si="63"/>
        <v/>
      </c>
      <c r="G359" t="str">
        <f t="shared" si="55"/>
        <v/>
      </c>
      <c r="H359" t="str">
        <f t="shared" si="56"/>
        <v/>
      </c>
      <c r="I359" t="str">
        <f t="shared" si="57"/>
        <v>Mixed</v>
      </c>
    </row>
    <row r="360" spans="5:9" x14ac:dyDescent="0.25">
      <c r="E360" t="str">
        <f t="shared" si="62"/>
        <v/>
      </c>
      <c r="F360" t="str">
        <f t="shared" si="63"/>
        <v/>
      </c>
      <c r="G360" t="str">
        <f t="shared" si="55"/>
        <v/>
      </c>
      <c r="H360" t="str">
        <f t="shared" si="56"/>
        <v/>
      </c>
      <c r="I360" t="str">
        <f t="shared" si="57"/>
        <v>Mixed</v>
      </c>
    </row>
    <row r="361" spans="5:9" x14ac:dyDescent="0.25">
      <c r="E361" t="str">
        <f>IF(AND(B36360=B360,A36360&gt;A360),C360,"")</f>
        <v/>
      </c>
      <c r="F361" t="str">
        <f>IF(AND(B36360=B360,A36360&gt;A360),D360,"")</f>
        <v/>
      </c>
      <c r="G361" t="str">
        <f t="shared" si="55"/>
        <v/>
      </c>
      <c r="H361" t="str">
        <f t="shared" si="56"/>
        <v/>
      </c>
      <c r="I361" t="str">
        <f t="shared" si="57"/>
        <v>Mixed</v>
      </c>
    </row>
    <row r="362" spans="5:9" x14ac:dyDescent="0.25">
      <c r="E362" t="str">
        <f t="shared" ref="E362:E370" si="64">IF(AND(B362=B361,A362&gt;A361),C361,"")</f>
        <v/>
      </c>
      <c r="F362" t="str">
        <f t="shared" ref="F362:F370" si="65">IF(AND(B362=B361,A362&gt;A361),D361,"")</f>
        <v/>
      </c>
      <c r="G362" t="str">
        <f t="shared" si="55"/>
        <v/>
      </c>
      <c r="H362" t="str">
        <f t="shared" si="56"/>
        <v/>
      </c>
      <c r="I362" t="str">
        <f t="shared" si="57"/>
        <v>Mixed</v>
      </c>
    </row>
    <row r="363" spans="5:9" x14ac:dyDescent="0.25">
      <c r="E363" t="str">
        <f t="shared" si="64"/>
        <v/>
      </c>
      <c r="F363" t="str">
        <f t="shared" si="65"/>
        <v/>
      </c>
      <c r="G363" t="str">
        <f t="shared" si="55"/>
        <v/>
      </c>
      <c r="H363" t="str">
        <f t="shared" si="56"/>
        <v/>
      </c>
      <c r="I363" t="str">
        <f t="shared" si="57"/>
        <v>Mixed</v>
      </c>
    </row>
    <row r="364" spans="5:9" x14ac:dyDescent="0.25">
      <c r="E364" t="str">
        <f t="shared" si="64"/>
        <v/>
      </c>
      <c r="F364" t="str">
        <f t="shared" si="65"/>
        <v/>
      </c>
      <c r="G364" t="str">
        <f t="shared" si="55"/>
        <v/>
      </c>
      <c r="H364" t="str">
        <f t="shared" si="56"/>
        <v/>
      </c>
      <c r="I364" t="str">
        <f t="shared" si="57"/>
        <v>Mixed</v>
      </c>
    </row>
    <row r="365" spans="5:9" x14ac:dyDescent="0.25">
      <c r="E365" t="str">
        <f t="shared" si="64"/>
        <v/>
      </c>
      <c r="F365" t="str">
        <f t="shared" si="65"/>
        <v/>
      </c>
      <c r="G365" t="str">
        <f t="shared" si="55"/>
        <v/>
      </c>
      <c r="H365" t="str">
        <f t="shared" si="56"/>
        <v/>
      </c>
      <c r="I365" t="str">
        <f t="shared" si="57"/>
        <v>Mixed</v>
      </c>
    </row>
    <row r="366" spans="5:9" x14ac:dyDescent="0.25">
      <c r="E366" t="str">
        <f t="shared" si="64"/>
        <v/>
      </c>
      <c r="F366" t="str">
        <f t="shared" si="65"/>
        <v/>
      </c>
      <c r="G366" t="str">
        <f t="shared" si="55"/>
        <v/>
      </c>
      <c r="H366" t="str">
        <f t="shared" si="56"/>
        <v/>
      </c>
      <c r="I366" t="str">
        <f t="shared" si="57"/>
        <v>Mixed</v>
      </c>
    </row>
    <row r="367" spans="5:9" x14ac:dyDescent="0.25">
      <c r="E367" t="str">
        <f t="shared" si="64"/>
        <v/>
      </c>
      <c r="F367" t="str">
        <f t="shared" si="65"/>
        <v/>
      </c>
      <c r="G367" t="str">
        <f t="shared" si="55"/>
        <v/>
      </c>
      <c r="H367" t="str">
        <f t="shared" si="56"/>
        <v/>
      </c>
      <c r="I367" t="str">
        <f t="shared" si="57"/>
        <v>Mixed</v>
      </c>
    </row>
    <row r="368" spans="5:9" x14ac:dyDescent="0.25">
      <c r="E368" t="str">
        <f t="shared" si="64"/>
        <v/>
      </c>
      <c r="F368" t="str">
        <f t="shared" si="65"/>
        <v/>
      </c>
      <c r="G368" t="str">
        <f t="shared" si="55"/>
        <v/>
      </c>
      <c r="H368" t="str">
        <f t="shared" si="56"/>
        <v/>
      </c>
      <c r="I368" t="str">
        <f t="shared" si="57"/>
        <v>Mixed</v>
      </c>
    </row>
    <row r="369" spans="5:9" x14ac:dyDescent="0.25">
      <c r="E369" t="str">
        <f t="shared" si="64"/>
        <v/>
      </c>
      <c r="F369" t="str">
        <f t="shared" si="65"/>
        <v/>
      </c>
      <c r="G369" t="str">
        <f t="shared" si="55"/>
        <v/>
      </c>
      <c r="H369" t="str">
        <f t="shared" si="56"/>
        <v/>
      </c>
      <c r="I369" t="str">
        <f t="shared" si="57"/>
        <v>Mixed</v>
      </c>
    </row>
    <row r="370" spans="5:9" x14ac:dyDescent="0.25">
      <c r="E370" t="str">
        <f t="shared" si="64"/>
        <v/>
      </c>
      <c r="F370" t="str">
        <f t="shared" si="65"/>
        <v/>
      </c>
      <c r="G370" t="str">
        <f t="shared" si="55"/>
        <v/>
      </c>
      <c r="H370" t="str">
        <f t="shared" si="56"/>
        <v/>
      </c>
      <c r="I370" t="str">
        <f t="shared" si="57"/>
        <v>Mixed</v>
      </c>
    </row>
    <row r="371" spans="5:9" x14ac:dyDescent="0.25">
      <c r="E371" t="str">
        <f>IF(AND(B37370=B370,A37370&gt;A370),C370,"")</f>
        <v/>
      </c>
      <c r="F371" t="str">
        <f>IF(AND(B37370=B370,A37370&gt;A370),D370,"")</f>
        <v/>
      </c>
      <c r="G371" t="str">
        <f t="shared" si="55"/>
        <v/>
      </c>
      <c r="H371" t="str">
        <f t="shared" si="56"/>
        <v/>
      </c>
      <c r="I371" t="str">
        <f t="shared" si="57"/>
        <v>Mixed</v>
      </c>
    </row>
    <row r="372" spans="5:9" x14ac:dyDescent="0.25">
      <c r="E372" t="str">
        <f t="shared" ref="E372:E380" si="66">IF(AND(B372=B371,A372&gt;A371),C371,"")</f>
        <v/>
      </c>
      <c r="F372" t="str">
        <f t="shared" ref="F372:F380" si="67">IF(AND(B372=B371,A372&gt;A371),D371,"")</f>
        <v/>
      </c>
      <c r="G372" t="str">
        <f t="shared" si="55"/>
        <v/>
      </c>
      <c r="H372" t="str">
        <f t="shared" si="56"/>
        <v/>
      </c>
      <c r="I372" t="str">
        <f t="shared" si="57"/>
        <v>Mixed</v>
      </c>
    </row>
    <row r="373" spans="5:9" x14ac:dyDescent="0.25">
      <c r="E373" t="str">
        <f t="shared" si="66"/>
        <v/>
      </c>
      <c r="F373" t="str">
        <f t="shared" si="67"/>
        <v/>
      </c>
      <c r="G373" t="str">
        <f t="shared" si="55"/>
        <v/>
      </c>
      <c r="H373" t="str">
        <f t="shared" si="56"/>
        <v/>
      </c>
      <c r="I373" t="str">
        <f t="shared" si="57"/>
        <v>Mixed</v>
      </c>
    </row>
    <row r="374" spans="5:9" x14ac:dyDescent="0.25">
      <c r="E374" t="str">
        <f t="shared" si="66"/>
        <v/>
      </c>
      <c r="F374" t="str">
        <f t="shared" si="67"/>
        <v/>
      </c>
      <c r="G374" t="str">
        <f t="shared" si="55"/>
        <v/>
      </c>
      <c r="H374" t="str">
        <f t="shared" si="56"/>
        <v/>
      </c>
      <c r="I374" t="str">
        <f t="shared" si="57"/>
        <v>Mixed</v>
      </c>
    </row>
    <row r="375" spans="5:9" x14ac:dyDescent="0.25">
      <c r="E375" t="str">
        <f t="shared" si="66"/>
        <v/>
      </c>
      <c r="F375" t="str">
        <f t="shared" si="67"/>
        <v/>
      </c>
      <c r="G375" t="str">
        <f t="shared" si="55"/>
        <v/>
      </c>
      <c r="H375" t="str">
        <f t="shared" si="56"/>
        <v/>
      </c>
      <c r="I375" t="str">
        <f t="shared" si="57"/>
        <v>Mixed</v>
      </c>
    </row>
    <row r="376" spans="5:9" x14ac:dyDescent="0.25">
      <c r="E376" t="str">
        <f t="shared" si="66"/>
        <v/>
      </c>
      <c r="F376" t="str">
        <f t="shared" si="67"/>
        <v/>
      </c>
      <c r="G376" t="str">
        <f t="shared" si="55"/>
        <v/>
      </c>
      <c r="H376" t="str">
        <f t="shared" si="56"/>
        <v/>
      </c>
      <c r="I376" t="str">
        <f t="shared" si="57"/>
        <v>Mixed</v>
      </c>
    </row>
    <row r="377" spans="5:9" x14ac:dyDescent="0.25">
      <c r="E377" t="str">
        <f t="shared" si="66"/>
        <v/>
      </c>
      <c r="F377" t="str">
        <f t="shared" si="67"/>
        <v/>
      </c>
      <c r="G377" t="str">
        <f t="shared" si="55"/>
        <v/>
      </c>
      <c r="H377" t="str">
        <f t="shared" si="56"/>
        <v/>
      </c>
      <c r="I377" t="str">
        <f t="shared" si="57"/>
        <v>Mixed</v>
      </c>
    </row>
    <row r="378" spans="5:9" x14ac:dyDescent="0.25">
      <c r="E378" t="str">
        <f t="shared" si="66"/>
        <v/>
      </c>
      <c r="F378" t="str">
        <f t="shared" si="67"/>
        <v/>
      </c>
      <c r="G378" t="str">
        <f t="shared" si="55"/>
        <v/>
      </c>
      <c r="H378" t="str">
        <f t="shared" si="56"/>
        <v/>
      </c>
      <c r="I378" t="str">
        <f t="shared" si="57"/>
        <v>Mixed</v>
      </c>
    </row>
    <row r="379" spans="5:9" x14ac:dyDescent="0.25">
      <c r="E379" t="str">
        <f t="shared" si="66"/>
        <v/>
      </c>
      <c r="F379" t="str">
        <f t="shared" si="67"/>
        <v/>
      </c>
      <c r="G379" t="str">
        <f t="shared" si="55"/>
        <v/>
      </c>
      <c r="H379" t="str">
        <f t="shared" si="56"/>
        <v/>
      </c>
      <c r="I379" t="str">
        <f t="shared" si="57"/>
        <v>Mixed</v>
      </c>
    </row>
    <row r="380" spans="5:9" x14ac:dyDescent="0.25">
      <c r="E380" t="str">
        <f t="shared" si="66"/>
        <v/>
      </c>
      <c r="F380" t="str">
        <f t="shared" si="67"/>
        <v/>
      </c>
      <c r="G380" t="str">
        <f t="shared" si="55"/>
        <v/>
      </c>
      <c r="H380" t="str">
        <f t="shared" si="56"/>
        <v/>
      </c>
      <c r="I380" t="str">
        <f t="shared" si="57"/>
        <v>Mixed</v>
      </c>
    </row>
    <row r="381" spans="5:9" x14ac:dyDescent="0.25">
      <c r="E381" t="str">
        <f>IF(AND(B38380=B380,A38380&gt;A380),C380,"")</f>
        <v/>
      </c>
      <c r="F381" t="str">
        <f>IF(AND(B38380=B380,A38380&gt;A380),D380,"")</f>
        <v/>
      </c>
      <c r="G381" t="str">
        <f t="shared" si="55"/>
        <v/>
      </c>
      <c r="H381" t="str">
        <f t="shared" si="56"/>
        <v/>
      </c>
      <c r="I381" t="str">
        <f t="shared" si="57"/>
        <v>Mixed</v>
      </c>
    </row>
    <row r="382" spans="5:9" x14ac:dyDescent="0.25">
      <c r="E382" t="str">
        <f t="shared" ref="E382:E390" si="68">IF(AND(B382=B381,A382&gt;A381),C381,"")</f>
        <v/>
      </c>
      <c r="F382" t="str">
        <f t="shared" ref="F382:F390" si="69">IF(AND(B382=B381,A382&gt;A381),D381,"")</f>
        <v/>
      </c>
      <c r="G382" t="str">
        <f t="shared" si="55"/>
        <v/>
      </c>
      <c r="H382" t="str">
        <f t="shared" si="56"/>
        <v/>
      </c>
      <c r="I382" t="str">
        <f t="shared" si="57"/>
        <v>Mixed</v>
      </c>
    </row>
    <row r="383" spans="5:9" x14ac:dyDescent="0.25">
      <c r="E383" t="str">
        <f t="shared" si="68"/>
        <v/>
      </c>
      <c r="F383" t="str">
        <f t="shared" si="69"/>
        <v/>
      </c>
      <c r="G383" t="str">
        <f t="shared" si="55"/>
        <v/>
      </c>
      <c r="H383" t="str">
        <f t="shared" si="56"/>
        <v/>
      </c>
      <c r="I383" t="str">
        <f t="shared" si="57"/>
        <v>Mixed</v>
      </c>
    </row>
    <row r="384" spans="5:9" x14ac:dyDescent="0.25">
      <c r="E384" t="str">
        <f t="shared" si="68"/>
        <v/>
      </c>
      <c r="F384" t="str">
        <f t="shared" si="69"/>
        <v/>
      </c>
      <c r="G384" t="str">
        <f t="shared" si="55"/>
        <v/>
      </c>
      <c r="H384" t="str">
        <f t="shared" si="56"/>
        <v/>
      </c>
      <c r="I384" t="str">
        <f t="shared" si="57"/>
        <v>Mixed</v>
      </c>
    </row>
    <row r="385" spans="5:9" x14ac:dyDescent="0.25">
      <c r="E385" t="str">
        <f t="shared" si="68"/>
        <v/>
      </c>
      <c r="F385" t="str">
        <f t="shared" si="69"/>
        <v/>
      </c>
      <c r="G385" t="str">
        <f t="shared" si="55"/>
        <v/>
      </c>
      <c r="H385" t="str">
        <f t="shared" si="56"/>
        <v/>
      </c>
      <c r="I385" t="str">
        <f t="shared" si="57"/>
        <v>Mixed</v>
      </c>
    </row>
    <row r="386" spans="5:9" x14ac:dyDescent="0.25">
      <c r="E386" t="str">
        <f t="shared" si="68"/>
        <v/>
      </c>
      <c r="F386" t="str">
        <f t="shared" si="69"/>
        <v/>
      </c>
      <c r="G386" t="str">
        <f t="shared" ref="G386:G449" si="70">IF(E386="","",IF(C386&gt;E386,"Higher High",IF(C386&lt;E386,"Lower High","Flat")))</f>
        <v/>
      </c>
      <c r="H386" t="str">
        <f t="shared" ref="H386:H449" si="71">IF(F386="","",IF(D386&gt;F386,"Higher Low",IF(D386&lt;F386,"Lower Low","Flat")))</f>
        <v/>
      </c>
      <c r="I386" t="str">
        <f t="shared" ref="I386:I449" si="72">IF(AND(G386="Higher High",H386="Higher Low"),"Bullish",IF(AND(G386="Lower High",H386="Lower Low"),"Bearish","Mixed"))</f>
        <v>Mixed</v>
      </c>
    </row>
    <row r="387" spans="5:9" x14ac:dyDescent="0.25">
      <c r="E387" t="str">
        <f t="shared" si="68"/>
        <v/>
      </c>
      <c r="F387" t="str">
        <f t="shared" si="69"/>
        <v/>
      </c>
      <c r="G387" t="str">
        <f t="shared" si="70"/>
        <v/>
      </c>
      <c r="H387" t="str">
        <f t="shared" si="71"/>
        <v/>
      </c>
      <c r="I387" t="str">
        <f t="shared" si="72"/>
        <v>Mixed</v>
      </c>
    </row>
    <row r="388" spans="5:9" x14ac:dyDescent="0.25">
      <c r="E388" t="str">
        <f t="shared" si="68"/>
        <v/>
      </c>
      <c r="F388" t="str">
        <f t="shared" si="69"/>
        <v/>
      </c>
      <c r="G388" t="str">
        <f t="shared" si="70"/>
        <v/>
      </c>
      <c r="H388" t="str">
        <f t="shared" si="71"/>
        <v/>
      </c>
      <c r="I388" t="str">
        <f t="shared" si="72"/>
        <v>Mixed</v>
      </c>
    </row>
    <row r="389" spans="5:9" x14ac:dyDescent="0.25">
      <c r="E389" t="str">
        <f t="shared" si="68"/>
        <v/>
      </c>
      <c r="F389" t="str">
        <f t="shared" si="69"/>
        <v/>
      </c>
      <c r="G389" t="str">
        <f t="shared" si="70"/>
        <v/>
      </c>
      <c r="H389" t="str">
        <f t="shared" si="71"/>
        <v/>
      </c>
      <c r="I389" t="str">
        <f t="shared" si="72"/>
        <v>Mixed</v>
      </c>
    </row>
    <row r="390" spans="5:9" x14ac:dyDescent="0.25">
      <c r="E390" t="str">
        <f t="shared" si="68"/>
        <v/>
      </c>
      <c r="F390" t="str">
        <f t="shared" si="69"/>
        <v/>
      </c>
      <c r="G390" t="str">
        <f t="shared" si="70"/>
        <v/>
      </c>
      <c r="H390" t="str">
        <f t="shared" si="71"/>
        <v/>
      </c>
      <c r="I390" t="str">
        <f t="shared" si="72"/>
        <v>Mixed</v>
      </c>
    </row>
    <row r="391" spans="5:9" x14ac:dyDescent="0.25">
      <c r="E391" t="str">
        <f>IF(AND(B39390=B390,A39390&gt;A390),C390,"")</f>
        <v/>
      </c>
      <c r="F391" t="str">
        <f>IF(AND(B39390=B390,A39390&gt;A390),D390,"")</f>
        <v/>
      </c>
      <c r="G391" t="str">
        <f t="shared" si="70"/>
        <v/>
      </c>
      <c r="H391" t="str">
        <f t="shared" si="71"/>
        <v/>
      </c>
      <c r="I391" t="str">
        <f t="shared" si="72"/>
        <v>Mixed</v>
      </c>
    </row>
    <row r="392" spans="5:9" x14ac:dyDescent="0.25">
      <c r="E392" t="str">
        <f t="shared" ref="E392:E400" si="73">IF(AND(B392=B391,A392&gt;A391),C391,"")</f>
        <v/>
      </c>
      <c r="F392" t="str">
        <f t="shared" ref="F392:F400" si="74">IF(AND(B392=B391,A392&gt;A391),D391,"")</f>
        <v/>
      </c>
      <c r="G392" t="str">
        <f t="shared" si="70"/>
        <v/>
      </c>
      <c r="H392" t="str">
        <f t="shared" si="71"/>
        <v/>
      </c>
      <c r="I392" t="str">
        <f t="shared" si="72"/>
        <v>Mixed</v>
      </c>
    </row>
    <row r="393" spans="5:9" x14ac:dyDescent="0.25">
      <c r="E393" t="str">
        <f t="shared" si="73"/>
        <v/>
      </c>
      <c r="F393" t="str">
        <f t="shared" si="74"/>
        <v/>
      </c>
      <c r="G393" t="str">
        <f t="shared" si="70"/>
        <v/>
      </c>
      <c r="H393" t="str">
        <f t="shared" si="71"/>
        <v/>
      </c>
      <c r="I393" t="str">
        <f t="shared" si="72"/>
        <v>Mixed</v>
      </c>
    </row>
    <row r="394" spans="5:9" x14ac:dyDescent="0.25">
      <c r="E394" t="str">
        <f t="shared" si="73"/>
        <v/>
      </c>
      <c r="F394" t="str">
        <f t="shared" si="74"/>
        <v/>
      </c>
      <c r="G394" t="str">
        <f t="shared" si="70"/>
        <v/>
      </c>
      <c r="H394" t="str">
        <f t="shared" si="71"/>
        <v/>
      </c>
      <c r="I394" t="str">
        <f t="shared" si="72"/>
        <v>Mixed</v>
      </c>
    </row>
    <row r="395" spans="5:9" x14ac:dyDescent="0.25">
      <c r="E395" t="str">
        <f t="shared" si="73"/>
        <v/>
      </c>
      <c r="F395" t="str">
        <f t="shared" si="74"/>
        <v/>
      </c>
      <c r="G395" t="str">
        <f t="shared" si="70"/>
        <v/>
      </c>
      <c r="H395" t="str">
        <f t="shared" si="71"/>
        <v/>
      </c>
      <c r="I395" t="str">
        <f t="shared" si="72"/>
        <v>Mixed</v>
      </c>
    </row>
    <row r="396" spans="5:9" x14ac:dyDescent="0.25">
      <c r="E396" t="str">
        <f t="shared" si="73"/>
        <v/>
      </c>
      <c r="F396" t="str">
        <f t="shared" si="74"/>
        <v/>
      </c>
      <c r="G396" t="str">
        <f t="shared" si="70"/>
        <v/>
      </c>
      <c r="H396" t="str">
        <f t="shared" si="71"/>
        <v/>
      </c>
      <c r="I396" t="str">
        <f t="shared" si="72"/>
        <v>Mixed</v>
      </c>
    </row>
    <row r="397" spans="5:9" x14ac:dyDescent="0.25">
      <c r="E397" t="str">
        <f t="shared" si="73"/>
        <v/>
      </c>
      <c r="F397" t="str">
        <f t="shared" si="74"/>
        <v/>
      </c>
      <c r="G397" t="str">
        <f t="shared" si="70"/>
        <v/>
      </c>
      <c r="H397" t="str">
        <f t="shared" si="71"/>
        <v/>
      </c>
      <c r="I397" t="str">
        <f t="shared" si="72"/>
        <v>Mixed</v>
      </c>
    </row>
    <row r="398" spans="5:9" x14ac:dyDescent="0.25">
      <c r="E398" t="str">
        <f t="shared" si="73"/>
        <v/>
      </c>
      <c r="F398" t="str">
        <f t="shared" si="74"/>
        <v/>
      </c>
      <c r="G398" t="str">
        <f t="shared" si="70"/>
        <v/>
      </c>
      <c r="H398" t="str">
        <f t="shared" si="71"/>
        <v/>
      </c>
      <c r="I398" t="str">
        <f t="shared" si="72"/>
        <v>Mixed</v>
      </c>
    </row>
    <row r="399" spans="5:9" x14ac:dyDescent="0.25">
      <c r="E399" t="str">
        <f t="shared" si="73"/>
        <v/>
      </c>
      <c r="F399" t="str">
        <f t="shared" si="74"/>
        <v/>
      </c>
      <c r="G399" t="str">
        <f t="shared" si="70"/>
        <v/>
      </c>
      <c r="H399" t="str">
        <f t="shared" si="71"/>
        <v/>
      </c>
      <c r="I399" t="str">
        <f t="shared" si="72"/>
        <v>Mixed</v>
      </c>
    </row>
    <row r="400" spans="5:9" x14ac:dyDescent="0.25">
      <c r="E400" t="str">
        <f t="shared" si="73"/>
        <v/>
      </c>
      <c r="F400" t="str">
        <f t="shared" si="74"/>
        <v/>
      </c>
      <c r="G400" t="str">
        <f t="shared" si="70"/>
        <v/>
      </c>
      <c r="H400" t="str">
        <f t="shared" si="71"/>
        <v/>
      </c>
      <c r="I400" t="str">
        <f t="shared" si="72"/>
        <v>Mixed</v>
      </c>
    </row>
    <row r="401" spans="5:9" x14ac:dyDescent="0.25">
      <c r="E401" t="str">
        <f>IF(AND(B40400=B400,A40400&gt;A400),C400,"")</f>
        <v/>
      </c>
      <c r="F401" t="str">
        <f>IF(AND(B40400=B400,A40400&gt;A400),D400,"")</f>
        <v/>
      </c>
      <c r="G401" t="str">
        <f t="shared" si="70"/>
        <v/>
      </c>
      <c r="H401" t="str">
        <f t="shared" si="71"/>
        <v/>
      </c>
      <c r="I401" t="str">
        <f t="shared" si="72"/>
        <v>Mixed</v>
      </c>
    </row>
    <row r="402" spans="5:9" x14ac:dyDescent="0.25">
      <c r="E402" t="str">
        <f t="shared" ref="E402:E409" si="75">IF(AND(B402=B401,A402&gt;A401),C401,"")</f>
        <v/>
      </c>
      <c r="F402" t="str">
        <f t="shared" ref="F402:F409" si="76">IF(AND(B402=B401,A402&gt;A401),D401,"")</f>
        <v/>
      </c>
      <c r="G402" t="str">
        <f t="shared" si="70"/>
        <v/>
      </c>
      <c r="H402" t="str">
        <f t="shared" si="71"/>
        <v/>
      </c>
      <c r="I402" t="str">
        <f t="shared" si="72"/>
        <v>Mixed</v>
      </c>
    </row>
    <row r="403" spans="5:9" x14ac:dyDescent="0.25">
      <c r="E403" t="str">
        <f t="shared" si="75"/>
        <v/>
      </c>
      <c r="F403" t="str">
        <f t="shared" si="76"/>
        <v/>
      </c>
      <c r="G403" t="str">
        <f t="shared" si="70"/>
        <v/>
      </c>
      <c r="H403" t="str">
        <f t="shared" si="71"/>
        <v/>
      </c>
      <c r="I403" t="str">
        <f t="shared" si="72"/>
        <v>Mixed</v>
      </c>
    </row>
    <row r="404" spans="5:9" x14ac:dyDescent="0.25">
      <c r="E404" t="str">
        <f t="shared" si="75"/>
        <v/>
      </c>
      <c r="F404" t="str">
        <f t="shared" si="76"/>
        <v/>
      </c>
      <c r="G404" t="str">
        <f t="shared" si="70"/>
        <v/>
      </c>
      <c r="H404" t="str">
        <f t="shared" si="71"/>
        <v/>
      </c>
      <c r="I404" t="str">
        <f t="shared" si="72"/>
        <v>Mixed</v>
      </c>
    </row>
    <row r="405" spans="5:9" x14ac:dyDescent="0.25">
      <c r="E405" t="str">
        <f t="shared" si="75"/>
        <v/>
      </c>
      <c r="F405" t="str">
        <f t="shared" si="76"/>
        <v/>
      </c>
      <c r="G405" t="str">
        <f t="shared" si="70"/>
        <v/>
      </c>
      <c r="H405" t="str">
        <f t="shared" si="71"/>
        <v/>
      </c>
      <c r="I405" t="str">
        <f t="shared" si="72"/>
        <v>Mixed</v>
      </c>
    </row>
    <row r="406" spans="5:9" x14ac:dyDescent="0.25">
      <c r="E406" t="str">
        <f t="shared" si="75"/>
        <v/>
      </c>
      <c r="F406" t="str">
        <f t="shared" si="76"/>
        <v/>
      </c>
      <c r="G406" t="str">
        <f t="shared" si="70"/>
        <v/>
      </c>
      <c r="H406" t="str">
        <f t="shared" si="71"/>
        <v/>
      </c>
      <c r="I406" t="str">
        <f t="shared" si="72"/>
        <v>Mixed</v>
      </c>
    </row>
    <row r="407" spans="5:9" x14ac:dyDescent="0.25">
      <c r="E407" t="str">
        <f t="shared" si="75"/>
        <v/>
      </c>
      <c r="F407" t="str">
        <f t="shared" si="76"/>
        <v/>
      </c>
      <c r="G407" t="str">
        <f t="shared" si="70"/>
        <v/>
      </c>
      <c r="H407" t="str">
        <f t="shared" si="71"/>
        <v/>
      </c>
      <c r="I407" t="str">
        <f t="shared" si="72"/>
        <v>Mixed</v>
      </c>
    </row>
    <row r="408" spans="5:9" x14ac:dyDescent="0.25">
      <c r="E408" t="str">
        <f t="shared" si="75"/>
        <v/>
      </c>
      <c r="F408" t="str">
        <f t="shared" si="76"/>
        <v/>
      </c>
      <c r="G408" t="str">
        <f t="shared" si="70"/>
        <v/>
      </c>
      <c r="H408" t="str">
        <f t="shared" si="71"/>
        <v/>
      </c>
      <c r="I408" t="str">
        <f t="shared" si="72"/>
        <v>Mixed</v>
      </c>
    </row>
    <row r="409" spans="5:9" x14ac:dyDescent="0.25">
      <c r="E409" t="str">
        <f t="shared" si="75"/>
        <v/>
      </c>
      <c r="F409" t="str">
        <f t="shared" si="76"/>
        <v/>
      </c>
      <c r="G409" t="str">
        <f t="shared" si="70"/>
        <v/>
      </c>
      <c r="H409" t="str">
        <f t="shared" si="71"/>
        <v/>
      </c>
      <c r="I409" t="str">
        <f t="shared" si="72"/>
        <v>Mixed</v>
      </c>
    </row>
    <row r="410" spans="5:9" x14ac:dyDescent="0.25">
      <c r="E410" t="str">
        <f>IF(AND(B44090=B409,A44090&gt;A409),C409,"")</f>
        <v/>
      </c>
      <c r="F410" t="str">
        <f>IF(AND(B44090=B409,A44090&gt;A409),D409,"")</f>
        <v/>
      </c>
      <c r="G410" t="str">
        <f t="shared" si="70"/>
        <v/>
      </c>
      <c r="H410" t="str">
        <f t="shared" si="71"/>
        <v/>
      </c>
      <c r="I410" t="str">
        <f t="shared" si="72"/>
        <v>Mixed</v>
      </c>
    </row>
    <row r="411" spans="5:9" x14ac:dyDescent="0.25">
      <c r="E411" t="e">
        <f>IF(AND(B4410410=B410,A4410410&gt;A410),C410,"")</f>
        <v>#NAME?</v>
      </c>
      <c r="F411" t="e">
        <f>IF(AND(B4410410=B410,A4410410&gt;A410),D410,"")</f>
        <v>#NAME?</v>
      </c>
      <c r="G411" t="e">
        <f t="shared" si="70"/>
        <v>#NAME?</v>
      </c>
      <c r="H411" t="e">
        <f t="shared" si="71"/>
        <v>#NAME?</v>
      </c>
      <c r="I411" t="e">
        <f t="shared" si="72"/>
        <v>#NAME?</v>
      </c>
    </row>
    <row r="412" spans="5:9" x14ac:dyDescent="0.25">
      <c r="E412" t="str">
        <f>IF(AND(B44112=B411,A44112&gt;A411),C411,"")</f>
        <v/>
      </c>
      <c r="F412" t="str">
        <f>IF(AND(B44112=B411,A44112&gt;A411),D411,"")</f>
        <v/>
      </c>
      <c r="G412" t="str">
        <f t="shared" si="70"/>
        <v/>
      </c>
      <c r="H412" t="str">
        <f t="shared" si="71"/>
        <v/>
      </c>
      <c r="I412" t="str">
        <f t="shared" si="72"/>
        <v>Mixed</v>
      </c>
    </row>
    <row r="413" spans="5:9" x14ac:dyDescent="0.25">
      <c r="E413" t="str">
        <f>IF(AND(B44123=B412,A44123&gt;A412),C412,"")</f>
        <v/>
      </c>
      <c r="F413" t="str">
        <f>IF(AND(B44123=B412,A44123&gt;A412),D412,"")</f>
        <v/>
      </c>
      <c r="G413" t="str">
        <f t="shared" si="70"/>
        <v/>
      </c>
      <c r="H413" t="str">
        <f t="shared" si="71"/>
        <v/>
      </c>
      <c r="I413" t="str">
        <f t="shared" si="72"/>
        <v>Mixed</v>
      </c>
    </row>
    <row r="414" spans="5:9" x14ac:dyDescent="0.25">
      <c r="E414" t="str">
        <f>IF(AND(B44134=B413,A44134&gt;A413),C413,"")</f>
        <v/>
      </c>
      <c r="F414" t="str">
        <f>IF(AND(B44134=B413,A44134&gt;A413),D413,"")</f>
        <v/>
      </c>
      <c r="G414" t="str">
        <f t="shared" si="70"/>
        <v/>
      </c>
      <c r="H414" t="str">
        <f t="shared" si="71"/>
        <v/>
      </c>
      <c r="I414" t="str">
        <f t="shared" si="72"/>
        <v>Mixed</v>
      </c>
    </row>
    <row r="415" spans="5:9" x14ac:dyDescent="0.25">
      <c r="E415" t="str">
        <f>IF(AND(B44145=B414,A44145&gt;A414),C414,"")</f>
        <v/>
      </c>
      <c r="F415" t="str">
        <f>IF(AND(B44145=B414,A44145&gt;A414),D414,"")</f>
        <v/>
      </c>
      <c r="G415" t="str">
        <f t="shared" si="70"/>
        <v/>
      </c>
      <c r="H415" t="str">
        <f t="shared" si="71"/>
        <v/>
      </c>
      <c r="I415" t="str">
        <f t="shared" si="72"/>
        <v>Mixed</v>
      </c>
    </row>
    <row r="416" spans="5:9" x14ac:dyDescent="0.25">
      <c r="E416" t="str">
        <f>IF(AND(B44156=B415,A44156&gt;A415),C415,"")</f>
        <v/>
      </c>
      <c r="F416" t="str">
        <f>IF(AND(B44156=B415,A44156&gt;A415),D415,"")</f>
        <v/>
      </c>
      <c r="G416" t="str">
        <f t="shared" si="70"/>
        <v/>
      </c>
      <c r="H416" t="str">
        <f t="shared" si="71"/>
        <v/>
      </c>
      <c r="I416" t="str">
        <f t="shared" si="72"/>
        <v>Mixed</v>
      </c>
    </row>
    <row r="417" spans="5:9" x14ac:dyDescent="0.25">
      <c r="E417" t="str">
        <f>IF(AND(B44167=B416,A44167&gt;A416),C416,"")</f>
        <v/>
      </c>
      <c r="F417" t="str">
        <f>IF(AND(B44167=B416,A44167&gt;A416),D416,"")</f>
        <v/>
      </c>
      <c r="G417" t="str">
        <f t="shared" si="70"/>
        <v/>
      </c>
      <c r="H417" t="str">
        <f t="shared" si="71"/>
        <v/>
      </c>
      <c r="I417" t="str">
        <f t="shared" si="72"/>
        <v>Mixed</v>
      </c>
    </row>
    <row r="418" spans="5:9" x14ac:dyDescent="0.25">
      <c r="E418" t="str">
        <f>IF(AND(B44178=B417,A44178&gt;A417),C417,"")</f>
        <v/>
      </c>
      <c r="F418" t="str">
        <f>IF(AND(B44178=B417,A44178&gt;A417),D417,"")</f>
        <v/>
      </c>
      <c r="G418" t="str">
        <f t="shared" si="70"/>
        <v/>
      </c>
      <c r="H418" t="str">
        <f t="shared" si="71"/>
        <v/>
      </c>
      <c r="I418" t="str">
        <f t="shared" si="72"/>
        <v>Mixed</v>
      </c>
    </row>
    <row r="419" spans="5:9" x14ac:dyDescent="0.25">
      <c r="E419" t="str">
        <f>IF(AND(B44189=B418,A44189&gt;A418),C418,"")</f>
        <v/>
      </c>
      <c r="F419" t="str">
        <f>IF(AND(B44189=B418,A44189&gt;A418),D418,"")</f>
        <v/>
      </c>
      <c r="G419" t="str">
        <f t="shared" si="70"/>
        <v/>
      </c>
      <c r="H419" t="str">
        <f t="shared" si="71"/>
        <v/>
      </c>
      <c r="I419" t="str">
        <f t="shared" si="72"/>
        <v>Mixed</v>
      </c>
    </row>
    <row r="420" spans="5:9" x14ac:dyDescent="0.25">
      <c r="E420" t="str">
        <f>IF(AND(B420=B419,A420&gt;A419),C419,"")</f>
        <v/>
      </c>
      <c r="F420" t="str">
        <f>IF(AND(B420=B419,A420&gt;A419),D419,"")</f>
        <v/>
      </c>
      <c r="G420" t="str">
        <f t="shared" si="70"/>
        <v/>
      </c>
      <c r="H420" t="str">
        <f t="shared" si="71"/>
        <v/>
      </c>
      <c r="I420" t="str">
        <f t="shared" si="72"/>
        <v>Mixed</v>
      </c>
    </row>
    <row r="421" spans="5:9" x14ac:dyDescent="0.25">
      <c r="E421" t="str">
        <f>IF(AND(B42420=B420,A42420&gt;A420),C420,"")</f>
        <v/>
      </c>
      <c r="F421" t="str">
        <f>IF(AND(B42420=B420,A42420&gt;A420),D420,"")</f>
        <v/>
      </c>
      <c r="G421" t="str">
        <f t="shared" si="70"/>
        <v/>
      </c>
      <c r="H421" t="str">
        <f t="shared" si="71"/>
        <v/>
      </c>
      <c r="I421" t="str">
        <f t="shared" si="72"/>
        <v>Mixed</v>
      </c>
    </row>
    <row r="422" spans="5:9" x14ac:dyDescent="0.25">
      <c r="E422" t="str">
        <f t="shared" ref="E422:E430" si="77">IF(AND(B422=B421,A422&gt;A421),C421,"")</f>
        <v/>
      </c>
      <c r="F422" t="str">
        <f t="shared" ref="F422:F430" si="78">IF(AND(B422=B421,A422&gt;A421),D421,"")</f>
        <v/>
      </c>
      <c r="G422" t="str">
        <f t="shared" si="70"/>
        <v/>
      </c>
      <c r="H422" t="str">
        <f t="shared" si="71"/>
        <v/>
      </c>
      <c r="I422" t="str">
        <f t="shared" si="72"/>
        <v>Mixed</v>
      </c>
    </row>
    <row r="423" spans="5:9" x14ac:dyDescent="0.25">
      <c r="E423" t="str">
        <f t="shared" si="77"/>
        <v/>
      </c>
      <c r="F423" t="str">
        <f t="shared" si="78"/>
        <v/>
      </c>
      <c r="G423" t="str">
        <f t="shared" si="70"/>
        <v/>
      </c>
      <c r="H423" t="str">
        <f t="shared" si="71"/>
        <v/>
      </c>
      <c r="I423" t="str">
        <f t="shared" si="72"/>
        <v>Mixed</v>
      </c>
    </row>
    <row r="424" spans="5:9" x14ac:dyDescent="0.25">
      <c r="E424" t="str">
        <f t="shared" si="77"/>
        <v/>
      </c>
      <c r="F424" t="str">
        <f t="shared" si="78"/>
        <v/>
      </c>
      <c r="G424" t="str">
        <f t="shared" si="70"/>
        <v/>
      </c>
      <c r="H424" t="str">
        <f t="shared" si="71"/>
        <v/>
      </c>
      <c r="I424" t="str">
        <f t="shared" si="72"/>
        <v>Mixed</v>
      </c>
    </row>
    <row r="425" spans="5:9" x14ac:dyDescent="0.25">
      <c r="E425" t="str">
        <f t="shared" si="77"/>
        <v/>
      </c>
      <c r="F425" t="str">
        <f t="shared" si="78"/>
        <v/>
      </c>
      <c r="G425" t="str">
        <f t="shared" si="70"/>
        <v/>
      </c>
      <c r="H425" t="str">
        <f t="shared" si="71"/>
        <v/>
      </c>
      <c r="I425" t="str">
        <f t="shared" si="72"/>
        <v>Mixed</v>
      </c>
    </row>
    <row r="426" spans="5:9" x14ac:dyDescent="0.25">
      <c r="E426" t="str">
        <f t="shared" si="77"/>
        <v/>
      </c>
      <c r="F426" t="str">
        <f t="shared" si="78"/>
        <v/>
      </c>
      <c r="G426" t="str">
        <f t="shared" si="70"/>
        <v/>
      </c>
      <c r="H426" t="str">
        <f t="shared" si="71"/>
        <v/>
      </c>
      <c r="I426" t="str">
        <f t="shared" si="72"/>
        <v>Mixed</v>
      </c>
    </row>
    <row r="427" spans="5:9" x14ac:dyDescent="0.25">
      <c r="E427" t="str">
        <f t="shared" si="77"/>
        <v/>
      </c>
      <c r="F427" t="str">
        <f t="shared" si="78"/>
        <v/>
      </c>
      <c r="G427" t="str">
        <f t="shared" si="70"/>
        <v/>
      </c>
      <c r="H427" t="str">
        <f t="shared" si="71"/>
        <v/>
      </c>
      <c r="I427" t="str">
        <f t="shared" si="72"/>
        <v>Mixed</v>
      </c>
    </row>
    <row r="428" spans="5:9" x14ac:dyDescent="0.25">
      <c r="E428" t="str">
        <f t="shared" si="77"/>
        <v/>
      </c>
      <c r="F428" t="str">
        <f t="shared" si="78"/>
        <v/>
      </c>
      <c r="G428" t="str">
        <f t="shared" si="70"/>
        <v/>
      </c>
      <c r="H428" t="str">
        <f t="shared" si="71"/>
        <v/>
      </c>
      <c r="I428" t="str">
        <f t="shared" si="72"/>
        <v>Mixed</v>
      </c>
    </row>
    <row r="429" spans="5:9" x14ac:dyDescent="0.25">
      <c r="E429" t="str">
        <f t="shared" si="77"/>
        <v/>
      </c>
      <c r="F429" t="str">
        <f t="shared" si="78"/>
        <v/>
      </c>
      <c r="G429" t="str">
        <f t="shared" si="70"/>
        <v/>
      </c>
      <c r="H429" t="str">
        <f t="shared" si="71"/>
        <v/>
      </c>
      <c r="I429" t="str">
        <f t="shared" si="72"/>
        <v>Mixed</v>
      </c>
    </row>
    <row r="430" spans="5:9" x14ac:dyDescent="0.25">
      <c r="E430" t="str">
        <f t="shared" si="77"/>
        <v/>
      </c>
      <c r="F430" t="str">
        <f t="shared" si="78"/>
        <v/>
      </c>
      <c r="G430" t="str">
        <f t="shared" si="70"/>
        <v/>
      </c>
      <c r="H430" t="str">
        <f t="shared" si="71"/>
        <v/>
      </c>
      <c r="I430" t="str">
        <f t="shared" si="72"/>
        <v>Mixed</v>
      </c>
    </row>
    <row r="431" spans="5:9" x14ac:dyDescent="0.25">
      <c r="E431" t="str">
        <f>IF(AND(B43430=B430,A43430&gt;A430),C430,"")</f>
        <v/>
      </c>
      <c r="F431" t="str">
        <f>IF(AND(B43430=B430,A43430&gt;A430),D430,"")</f>
        <v/>
      </c>
      <c r="G431" t="str">
        <f t="shared" si="70"/>
        <v/>
      </c>
      <c r="H431" t="str">
        <f t="shared" si="71"/>
        <v/>
      </c>
      <c r="I431" t="str">
        <f t="shared" si="72"/>
        <v>Mixed</v>
      </c>
    </row>
    <row r="432" spans="5:9" x14ac:dyDescent="0.25">
      <c r="E432" t="str">
        <f t="shared" ref="E432:E440" si="79">IF(AND(B432=B431,A432&gt;A431),C431,"")</f>
        <v/>
      </c>
      <c r="F432" t="str">
        <f t="shared" ref="F432:F440" si="80">IF(AND(B432=B431,A432&gt;A431),D431,"")</f>
        <v/>
      </c>
      <c r="G432" t="str">
        <f t="shared" si="70"/>
        <v/>
      </c>
      <c r="H432" t="str">
        <f t="shared" si="71"/>
        <v/>
      </c>
      <c r="I432" t="str">
        <f t="shared" si="72"/>
        <v>Mixed</v>
      </c>
    </row>
    <row r="433" spans="5:9" x14ac:dyDescent="0.25">
      <c r="E433" t="str">
        <f t="shared" si="79"/>
        <v/>
      </c>
      <c r="F433" t="str">
        <f t="shared" si="80"/>
        <v/>
      </c>
      <c r="G433" t="str">
        <f t="shared" si="70"/>
        <v/>
      </c>
      <c r="H433" t="str">
        <f t="shared" si="71"/>
        <v/>
      </c>
      <c r="I433" t="str">
        <f t="shared" si="72"/>
        <v>Mixed</v>
      </c>
    </row>
    <row r="434" spans="5:9" x14ac:dyDescent="0.25">
      <c r="E434" t="str">
        <f t="shared" si="79"/>
        <v/>
      </c>
      <c r="F434" t="str">
        <f t="shared" si="80"/>
        <v/>
      </c>
      <c r="G434" t="str">
        <f t="shared" si="70"/>
        <v/>
      </c>
      <c r="H434" t="str">
        <f t="shared" si="71"/>
        <v/>
      </c>
      <c r="I434" t="str">
        <f t="shared" si="72"/>
        <v>Mixed</v>
      </c>
    </row>
    <row r="435" spans="5:9" x14ac:dyDescent="0.25">
      <c r="E435" t="str">
        <f t="shared" si="79"/>
        <v/>
      </c>
      <c r="F435" t="str">
        <f t="shared" si="80"/>
        <v/>
      </c>
      <c r="G435" t="str">
        <f t="shared" si="70"/>
        <v/>
      </c>
      <c r="H435" t="str">
        <f t="shared" si="71"/>
        <v/>
      </c>
      <c r="I435" t="str">
        <f t="shared" si="72"/>
        <v>Mixed</v>
      </c>
    </row>
    <row r="436" spans="5:9" x14ac:dyDescent="0.25">
      <c r="E436" t="str">
        <f t="shared" si="79"/>
        <v/>
      </c>
      <c r="F436" t="str">
        <f t="shared" si="80"/>
        <v/>
      </c>
      <c r="G436" t="str">
        <f t="shared" si="70"/>
        <v/>
      </c>
      <c r="H436" t="str">
        <f t="shared" si="71"/>
        <v/>
      </c>
      <c r="I436" t="str">
        <f t="shared" si="72"/>
        <v>Mixed</v>
      </c>
    </row>
    <row r="437" spans="5:9" x14ac:dyDescent="0.25">
      <c r="E437" t="str">
        <f t="shared" si="79"/>
        <v/>
      </c>
      <c r="F437" t="str">
        <f t="shared" si="80"/>
        <v/>
      </c>
      <c r="G437" t="str">
        <f t="shared" si="70"/>
        <v/>
      </c>
      <c r="H437" t="str">
        <f t="shared" si="71"/>
        <v/>
      </c>
      <c r="I437" t="str">
        <f t="shared" si="72"/>
        <v>Mixed</v>
      </c>
    </row>
    <row r="438" spans="5:9" x14ac:dyDescent="0.25">
      <c r="E438" t="str">
        <f t="shared" si="79"/>
        <v/>
      </c>
      <c r="F438" t="str">
        <f t="shared" si="80"/>
        <v/>
      </c>
      <c r="G438" t="str">
        <f t="shared" si="70"/>
        <v/>
      </c>
      <c r="H438" t="str">
        <f t="shared" si="71"/>
        <v/>
      </c>
      <c r="I438" t="str">
        <f t="shared" si="72"/>
        <v>Mixed</v>
      </c>
    </row>
    <row r="439" spans="5:9" x14ac:dyDescent="0.25">
      <c r="E439" t="str">
        <f t="shared" si="79"/>
        <v/>
      </c>
      <c r="F439" t="str">
        <f t="shared" si="80"/>
        <v/>
      </c>
      <c r="G439" t="str">
        <f t="shared" si="70"/>
        <v/>
      </c>
      <c r="H439" t="str">
        <f t="shared" si="71"/>
        <v/>
      </c>
      <c r="I439" t="str">
        <f t="shared" si="72"/>
        <v>Mixed</v>
      </c>
    </row>
    <row r="440" spans="5:9" x14ac:dyDescent="0.25">
      <c r="E440" t="str">
        <f t="shared" si="79"/>
        <v/>
      </c>
      <c r="F440" t="str">
        <f t="shared" si="80"/>
        <v/>
      </c>
      <c r="G440" t="str">
        <f t="shared" si="70"/>
        <v/>
      </c>
      <c r="H440" t="str">
        <f t="shared" si="71"/>
        <v/>
      </c>
      <c r="I440" t="str">
        <f t="shared" si="72"/>
        <v>Mixed</v>
      </c>
    </row>
    <row r="441" spans="5:9" x14ac:dyDescent="0.25">
      <c r="E441" t="str">
        <f>IF(AND(B44440=B440,A44440&gt;A440),C440,"")</f>
        <v/>
      </c>
      <c r="F441" t="str">
        <f>IF(AND(B44440=B440,A44440&gt;A440),D440,"")</f>
        <v/>
      </c>
      <c r="G441" t="str">
        <f t="shared" si="70"/>
        <v/>
      </c>
      <c r="H441" t="str">
        <f t="shared" si="71"/>
        <v/>
      </c>
      <c r="I441" t="str">
        <f t="shared" si="72"/>
        <v>Mixed</v>
      </c>
    </row>
    <row r="442" spans="5:9" x14ac:dyDescent="0.25">
      <c r="E442" t="str">
        <f t="shared" ref="E442:E450" si="81">IF(AND(B442=B441,A442&gt;A441),C441,"")</f>
        <v/>
      </c>
      <c r="F442" t="str">
        <f t="shared" ref="F442:F450" si="82">IF(AND(B442=B441,A442&gt;A441),D441,"")</f>
        <v/>
      </c>
      <c r="G442" t="str">
        <f t="shared" si="70"/>
        <v/>
      </c>
      <c r="H442" t="str">
        <f t="shared" si="71"/>
        <v/>
      </c>
      <c r="I442" t="str">
        <f t="shared" si="72"/>
        <v>Mixed</v>
      </c>
    </row>
    <row r="443" spans="5:9" x14ac:dyDescent="0.25">
      <c r="E443" t="str">
        <f t="shared" si="81"/>
        <v/>
      </c>
      <c r="F443" t="str">
        <f t="shared" si="82"/>
        <v/>
      </c>
      <c r="G443" t="str">
        <f t="shared" si="70"/>
        <v/>
      </c>
      <c r="H443" t="str">
        <f t="shared" si="71"/>
        <v/>
      </c>
      <c r="I443" t="str">
        <f t="shared" si="72"/>
        <v>Mixed</v>
      </c>
    </row>
    <row r="444" spans="5:9" x14ac:dyDescent="0.25">
      <c r="E444" t="str">
        <f t="shared" si="81"/>
        <v/>
      </c>
      <c r="F444" t="str">
        <f t="shared" si="82"/>
        <v/>
      </c>
      <c r="G444" t="str">
        <f t="shared" si="70"/>
        <v/>
      </c>
      <c r="H444" t="str">
        <f t="shared" si="71"/>
        <v/>
      </c>
      <c r="I444" t="str">
        <f t="shared" si="72"/>
        <v>Mixed</v>
      </c>
    </row>
    <row r="445" spans="5:9" x14ac:dyDescent="0.25">
      <c r="E445" t="str">
        <f t="shared" si="81"/>
        <v/>
      </c>
      <c r="F445" t="str">
        <f t="shared" si="82"/>
        <v/>
      </c>
      <c r="G445" t="str">
        <f t="shared" si="70"/>
        <v/>
      </c>
      <c r="H445" t="str">
        <f t="shared" si="71"/>
        <v/>
      </c>
      <c r="I445" t="str">
        <f t="shared" si="72"/>
        <v>Mixed</v>
      </c>
    </row>
    <row r="446" spans="5:9" x14ac:dyDescent="0.25">
      <c r="E446" t="str">
        <f t="shared" si="81"/>
        <v/>
      </c>
      <c r="F446" t="str">
        <f t="shared" si="82"/>
        <v/>
      </c>
      <c r="G446" t="str">
        <f t="shared" si="70"/>
        <v/>
      </c>
      <c r="H446" t="str">
        <f t="shared" si="71"/>
        <v/>
      </c>
      <c r="I446" t="str">
        <f t="shared" si="72"/>
        <v>Mixed</v>
      </c>
    </row>
    <row r="447" spans="5:9" x14ac:dyDescent="0.25">
      <c r="E447" t="str">
        <f t="shared" si="81"/>
        <v/>
      </c>
      <c r="F447" t="str">
        <f t="shared" si="82"/>
        <v/>
      </c>
      <c r="G447" t="str">
        <f t="shared" si="70"/>
        <v/>
      </c>
      <c r="H447" t="str">
        <f t="shared" si="71"/>
        <v/>
      </c>
      <c r="I447" t="str">
        <f t="shared" si="72"/>
        <v>Mixed</v>
      </c>
    </row>
    <row r="448" spans="5:9" x14ac:dyDescent="0.25">
      <c r="E448" t="str">
        <f t="shared" si="81"/>
        <v/>
      </c>
      <c r="F448" t="str">
        <f t="shared" si="82"/>
        <v/>
      </c>
      <c r="G448" t="str">
        <f t="shared" si="70"/>
        <v/>
      </c>
      <c r="H448" t="str">
        <f t="shared" si="71"/>
        <v/>
      </c>
      <c r="I448" t="str">
        <f t="shared" si="72"/>
        <v>Mixed</v>
      </c>
    </row>
    <row r="449" spans="5:9" x14ac:dyDescent="0.25">
      <c r="E449" t="str">
        <f t="shared" si="81"/>
        <v/>
      </c>
      <c r="F449" t="str">
        <f t="shared" si="82"/>
        <v/>
      </c>
      <c r="G449" t="str">
        <f t="shared" si="70"/>
        <v/>
      </c>
      <c r="H449" t="str">
        <f t="shared" si="71"/>
        <v/>
      </c>
      <c r="I449" t="str">
        <f t="shared" si="72"/>
        <v>Mixed</v>
      </c>
    </row>
    <row r="450" spans="5:9" x14ac:dyDescent="0.25">
      <c r="E450" t="str">
        <f t="shared" si="81"/>
        <v/>
      </c>
      <c r="F450" t="str">
        <f t="shared" si="82"/>
        <v/>
      </c>
      <c r="G450" t="str">
        <f t="shared" ref="G450:G501" si="83">IF(E450="","",IF(C450&gt;E450,"Higher High",IF(C450&lt;E450,"Lower High","Flat")))</f>
        <v/>
      </c>
      <c r="H450" t="str">
        <f t="shared" ref="H450:H501" si="84">IF(F450="","",IF(D450&gt;F450,"Higher Low",IF(D450&lt;F450,"Lower Low","Flat")))</f>
        <v/>
      </c>
      <c r="I450" t="str">
        <f t="shared" ref="I450:I501" si="85">IF(AND(G450="Higher High",H450="Higher Low"),"Bullish",IF(AND(G450="Lower High",H450="Lower Low"),"Bearish","Mixed"))</f>
        <v>Mixed</v>
      </c>
    </row>
    <row r="451" spans="5:9" x14ac:dyDescent="0.25">
      <c r="E451" t="str">
        <f>IF(AND(B45450=B450,A45450&gt;A450),C450,"")</f>
        <v/>
      </c>
      <c r="F451" t="str">
        <f>IF(AND(B45450=B450,A45450&gt;A450),D450,"")</f>
        <v/>
      </c>
      <c r="G451" t="str">
        <f t="shared" si="83"/>
        <v/>
      </c>
      <c r="H451" t="str">
        <f t="shared" si="84"/>
        <v/>
      </c>
      <c r="I451" t="str">
        <f t="shared" si="85"/>
        <v>Mixed</v>
      </c>
    </row>
    <row r="452" spans="5:9" x14ac:dyDescent="0.25">
      <c r="E452" t="str">
        <f t="shared" ref="E452:E460" si="86">IF(AND(B452=B451,A452&gt;A451),C451,"")</f>
        <v/>
      </c>
      <c r="F452" t="str">
        <f t="shared" ref="F452:F460" si="87">IF(AND(B452=B451,A452&gt;A451),D451,"")</f>
        <v/>
      </c>
      <c r="G452" t="str">
        <f t="shared" si="83"/>
        <v/>
      </c>
      <c r="H452" t="str">
        <f t="shared" si="84"/>
        <v/>
      </c>
      <c r="I452" t="str">
        <f t="shared" si="85"/>
        <v>Mixed</v>
      </c>
    </row>
    <row r="453" spans="5:9" x14ac:dyDescent="0.25">
      <c r="E453" t="str">
        <f t="shared" si="86"/>
        <v/>
      </c>
      <c r="F453" t="str">
        <f t="shared" si="87"/>
        <v/>
      </c>
      <c r="G453" t="str">
        <f t="shared" si="83"/>
        <v/>
      </c>
      <c r="H453" t="str">
        <f t="shared" si="84"/>
        <v/>
      </c>
      <c r="I453" t="str">
        <f t="shared" si="85"/>
        <v>Mixed</v>
      </c>
    </row>
    <row r="454" spans="5:9" x14ac:dyDescent="0.25">
      <c r="E454" t="str">
        <f t="shared" si="86"/>
        <v/>
      </c>
      <c r="F454" t="str">
        <f t="shared" si="87"/>
        <v/>
      </c>
      <c r="G454" t="str">
        <f t="shared" si="83"/>
        <v/>
      </c>
      <c r="H454" t="str">
        <f t="shared" si="84"/>
        <v/>
      </c>
      <c r="I454" t="str">
        <f t="shared" si="85"/>
        <v>Mixed</v>
      </c>
    </row>
    <row r="455" spans="5:9" x14ac:dyDescent="0.25">
      <c r="E455" t="str">
        <f t="shared" si="86"/>
        <v/>
      </c>
      <c r="F455" t="str">
        <f t="shared" si="87"/>
        <v/>
      </c>
      <c r="G455" t="str">
        <f t="shared" si="83"/>
        <v/>
      </c>
      <c r="H455" t="str">
        <f t="shared" si="84"/>
        <v/>
      </c>
      <c r="I455" t="str">
        <f t="shared" si="85"/>
        <v>Mixed</v>
      </c>
    </row>
    <row r="456" spans="5:9" x14ac:dyDescent="0.25">
      <c r="E456" t="str">
        <f t="shared" si="86"/>
        <v/>
      </c>
      <c r="F456" t="str">
        <f t="shared" si="87"/>
        <v/>
      </c>
      <c r="G456" t="str">
        <f t="shared" si="83"/>
        <v/>
      </c>
      <c r="H456" t="str">
        <f t="shared" si="84"/>
        <v/>
      </c>
      <c r="I456" t="str">
        <f t="shared" si="85"/>
        <v>Mixed</v>
      </c>
    </row>
    <row r="457" spans="5:9" x14ac:dyDescent="0.25">
      <c r="E457" t="str">
        <f t="shared" si="86"/>
        <v/>
      </c>
      <c r="F457" t="str">
        <f t="shared" si="87"/>
        <v/>
      </c>
      <c r="G457" t="str">
        <f t="shared" si="83"/>
        <v/>
      </c>
      <c r="H457" t="str">
        <f t="shared" si="84"/>
        <v/>
      </c>
      <c r="I457" t="str">
        <f t="shared" si="85"/>
        <v>Mixed</v>
      </c>
    </row>
    <row r="458" spans="5:9" x14ac:dyDescent="0.25">
      <c r="E458" t="str">
        <f t="shared" si="86"/>
        <v/>
      </c>
      <c r="F458" t="str">
        <f t="shared" si="87"/>
        <v/>
      </c>
      <c r="G458" t="str">
        <f t="shared" si="83"/>
        <v/>
      </c>
      <c r="H458" t="str">
        <f t="shared" si="84"/>
        <v/>
      </c>
      <c r="I458" t="str">
        <f t="shared" si="85"/>
        <v>Mixed</v>
      </c>
    </row>
    <row r="459" spans="5:9" x14ac:dyDescent="0.25">
      <c r="E459" t="str">
        <f t="shared" si="86"/>
        <v/>
      </c>
      <c r="F459" t="str">
        <f t="shared" si="87"/>
        <v/>
      </c>
      <c r="G459" t="str">
        <f t="shared" si="83"/>
        <v/>
      </c>
      <c r="H459" t="str">
        <f t="shared" si="84"/>
        <v/>
      </c>
      <c r="I459" t="str">
        <f t="shared" si="85"/>
        <v>Mixed</v>
      </c>
    </row>
    <row r="460" spans="5:9" x14ac:dyDescent="0.25">
      <c r="E460" t="str">
        <f t="shared" si="86"/>
        <v/>
      </c>
      <c r="F460" t="str">
        <f t="shared" si="87"/>
        <v/>
      </c>
      <c r="G460" t="str">
        <f t="shared" si="83"/>
        <v/>
      </c>
      <c r="H460" t="str">
        <f t="shared" si="84"/>
        <v/>
      </c>
      <c r="I460" t="str">
        <f t="shared" si="85"/>
        <v>Mixed</v>
      </c>
    </row>
    <row r="461" spans="5:9" x14ac:dyDescent="0.25">
      <c r="E461" t="str">
        <f>IF(AND(B46460=B460,A46460&gt;A460),C460,"")</f>
        <v/>
      </c>
      <c r="F461" t="str">
        <f>IF(AND(B46460=B460,A46460&gt;A460),D460,"")</f>
        <v/>
      </c>
      <c r="G461" t="str">
        <f t="shared" si="83"/>
        <v/>
      </c>
      <c r="H461" t="str">
        <f t="shared" si="84"/>
        <v/>
      </c>
      <c r="I461" t="str">
        <f t="shared" si="85"/>
        <v>Mixed</v>
      </c>
    </row>
    <row r="462" spans="5:9" x14ac:dyDescent="0.25">
      <c r="E462" t="str">
        <f t="shared" ref="E462:E470" si="88">IF(AND(B462=B461,A462&gt;A461),C461,"")</f>
        <v/>
      </c>
      <c r="F462" t="str">
        <f t="shared" ref="F462:F470" si="89">IF(AND(B462=B461,A462&gt;A461),D461,"")</f>
        <v/>
      </c>
      <c r="G462" t="str">
        <f t="shared" si="83"/>
        <v/>
      </c>
      <c r="H462" t="str">
        <f t="shared" si="84"/>
        <v/>
      </c>
      <c r="I462" t="str">
        <f t="shared" si="85"/>
        <v>Mixed</v>
      </c>
    </row>
    <row r="463" spans="5:9" x14ac:dyDescent="0.25">
      <c r="E463" t="str">
        <f t="shared" si="88"/>
        <v/>
      </c>
      <c r="F463" t="str">
        <f t="shared" si="89"/>
        <v/>
      </c>
      <c r="G463" t="str">
        <f t="shared" si="83"/>
        <v/>
      </c>
      <c r="H463" t="str">
        <f t="shared" si="84"/>
        <v/>
      </c>
      <c r="I463" t="str">
        <f t="shared" si="85"/>
        <v>Mixed</v>
      </c>
    </row>
    <row r="464" spans="5:9" x14ac:dyDescent="0.25">
      <c r="E464" t="str">
        <f t="shared" si="88"/>
        <v/>
      </c>
      <c r="F464" t="str">
        <f t="shared" si="89"/>
        <v/>
      </c>
      <c r="G464" t="str">
        <f t="shared" si="83"/>
        <v/>
      </c>
      <c r="H464" t="str">
        <f t="shared" si="84"/>
        <v/>
      </c>
      <c r="I464" t="str">
        <f t="shared" si="85"/>
        <v>Mixed</v>
      </c>
    </row>
    <row r="465" spans="5:9" x14ac:dyDescent="0.25">
      <c r="E465" t="str">
        <f t="shared" si="88"/>
        <v/>
      </c>
      <c r="F465" t="str">
        <f t="shared" si="89"/>
        <v/>
      </c>
      <c r="G465" t="str">
        <f t="shared" si="83"/>
        <v/>
      </c>
      <c r="H465" t="str">
        <f t="shared" si="84"/>
        <v/>
      </c>
      <c r="I465" t="str">
        <f t="shared" si="85"/>
        <v>Mixed</v>
      </c>
    </row>
    <row r="466" spans="5:9" x14ac:dyDescent="0.25">
      <c r="E466" t="str">
        <f t="shared" si="88"/>
        <v/>
      </c>
      <c r="F466" t="str">
        <f t="shared" si="89"/>
        <v/>
      </c>
      <c r="G466" t="str">
        <f t="shared" si="83"/>
        <v/>
      </c>
      <c r="H466" t="str">
        <f t="shared" si="84"/>
        <v/>
      </c>
      <c r="I466" t="str">
        <f t="shared" si="85"/>
        <v>Mixed</v>
      </c>
    </row>
    <row r="467" spans="5:9" x14ac:dyDescent="0.25">
      <c r="E467" t="str">
        <f t="shared" si="88"/>
        <v/>
      </c>
      <c r="F467" t="str">
        <f t="shared" si="89"/>
        <v/>
      </c>
      <c r="G467" t="str">
        <f t="shared" si="83"/>
        <v/>
      </c>
      <c r="H467" t="str">
        <f t="shared" si="84"/>
        <v/>
      </c>
      <c r="I467" t="str">
        <f t="shared" si="85"/>
        <v>Mixed</v>
      </c>
    </row>
    <row r="468" spans="5:9" x14ac:dyDescent="0.25">
      <c r="E468" t="str">
        <f t="shared" si="88"/>
        <v/>
      </c>
      <c r="F468" t="str">
        <f t="shared" si="89"/>
        <v/>
      </c>
      <c r="G468" t="str">
        <f t="shared" si="83"/>
        <v/>
      </c>
      <c r="H468" t="str">
        <f t="shared" si="84"/>
        <v/>
      </c>
      <c r="I468" t="str">
        <f t="shared" si="85"/>
        <v>Mixed</v>
      </c>
    </row>
    <row r="469" spans="5:9" x14ac:dyDescent="0.25">
      <c r="E469" t="str">
        <f t="shared" si="88"/>
        <v/>
      </c>
      <c r="F469" t="str">
        <f t="shared" si="89"/>
        <v/>
      </c>
      <c r="G469" t="str">
        <f t="shared" si="83"/>
        <v/>
      </c>
      <c r="H469" t="str">
        <f t="shared" si="84"/>
        <v/>
      </c>
      <c r="I469" t="str">
        <f t="shared" si="85"/>
        <v>Mixed</v>
      </c>
    </row>
    <row r="470" spans="5:9" x14ac:dyDescent="0.25">
      <c r="E470" t="str">
        <f t="shared" si="88"/>
        <v/>
      </c>
      <c r="F470" t="str">
        <f t="shared" si="89"/>
        <v/>
      </c>
      <c r="G470" t="str">
        <f t="shared" si="83"/>
        <v/>
      </c>
      <c r="H470" t="str">
        <f t="shared" si="84"/>
        <v/>
      </c>
      <c r="I470" t="str">
        <f t="shared" si="85"/>
        <v>Mixed</v>
      </c>
    </row>
    <row r="471" spans="5:9" x14ac:dyDescent="0.25">
      <c r="E471" t="str">
        <f>IF(AND(B47470=B470,A47470&gt;A470),C470,"")</f>
        <v/>
      </c>
      <c r="F471" t="str">
        <f>IF(AND(B47470=B470,A47470&gt;A470),D470,"")</f>
        <v/>
      </c>
      <c r="G471" t="str">
        <f t="shared" si="83"/>
        <v/>
      </c>
      <c r="H471" t="str">
        <f t="shared" si="84"/>
        <v/>
      </c>
      <c r="I471" t="str">
        <f t="shared" si="85"/>
        <v>Mixed</v>
      </c>
    </row>
    <row r="472" spans="5:9" x14ac:dyDescent="0.25">
      <c r="E472" t="str">
        <f t="shared" ref="E472:E480" si="90">IF(AND(B472=B471,A472&gt;A471),C471,"")</f>
        <v/>
      </c>
      <c r="F472" t="str">
        <f t="shared" ref="F472:F480" si="91">IF(AND(B472=B471,A472&gt;A471),D471,"")</f>
        <v/>
      </c>
      <c r="G472" t="str">
        <f t="shared" si="83"/>
        <v/>
      </c>
      <c r="H472" t="str">
        <f t="shared" si="84"/>
        <v/>
      </c>
      <c r="I472" t="str">
        <f t="shared" si="85"/>
        <v>Mixed</v>
      </c>
    </row>
    <row r="473" spans="5:9" x14ac:dyDescent="0.25">
      <c r="E473" t="str">
        <f t="shared" si="90"/>
        <v/>
      </c>
      <c r="F473" t="str">
        <f t="shared" si="91"/>
        <v/>
      </c>
      <c r="G473" t="str">
        <f t="shared" si="83"/>
        <v/>
      </c>
      <c r="H473" t="str">
        <f t="shared" si="84"/>
        <v/>
      </c>
      <c r="I473" t="str">
        <f t="shared" si="85"/>
        <v>Mixed</v>
      </c>
    </row>
    <row r="474" spans="5:9" x14ac:dyDescent="0.25">
      <c r="E474" t="str">
        <f t="shared" si="90"/>
        <v/>
      </c>
      <c r="F474" t="str">
        <f t="shared" si="91"/>
        <v/>
      </c>
      <c r="G474" t="str">
        <f t="shared" si="83"/>
        <v/>
      </c>
      <c r="H474" t="str">
        <f t="shared" si="84"/>
        <v/>
      </c>
      <c r="I474" t="str">
        <f t="shared" si="85"/>
        <v>Mixed</v>
      </c>
    </row>
    <row r="475" spans="5:9" x14ac:dyDescent="0.25">
      <c r="E475" t="str">
        <f t="shared" si="90"/>
        <v/>
      </c>
      <c r="F475" t="str">
        <f t="shared" si="91"/>
        <v/>
      </c>
      <c r="G475" t="str">
        <f t="shared" si="83"/>
        <v/>
      </c>
      <c r="H475" t="str">
        <f t="shared" si="84"/>
        <v/>
      </c>
      <c r="I475" t="str">
        <f t="shared" si="85"/>
        <v>Mixed</v>
      </c>
    </row>
    <row r="476" spans="5:9" x14ac:dyDescent="0.25">
      <c r="E476" t="str">
        <f t="shared" si="90"/>
        <v/>
      </c>
      <c r="F476" t="str">
        <f t="shared" si="91"/>
        <v/>
      </c>
      <c r="G476" t="str">
        <f t="shared" si="83"/>
        <v/>
      </c>
      <c r="H476" t="str">
        <f t="shared" si="84"/>
        <v/>
      </c>
      <c r="I476" t="str">
        <f t="shared" si="85"/>
        <v>Mixed</v>
      </c>
    </row>
    <row r="477" spans="5:9" x14ac:dyDescent="0.25">
      <c r="E477" t="str">
        <f t="shared" si="90"/>
        <v/>
      </c>
      <c r="F477" t="str">
        <f t="shared" si="91"/>
        <v/>
      </c>
      <c r="G477" t="str">
        <f t="shared" si="83"/>
        <v/>
      </c>
      <c r="H477" t="str">
        <f t="shared" si="84"/>
        <v/>
      </c>
      <c r="I477" t="str">
        <f t="shared" si="85"/>
        <v>Mixed</v>
      </c>
    </row>
    <row r="478" spans="5:9" x14ac:dyDescent="0.25">
      <c r="E478" t="str">
        <f t="shared" si="90"/>
        <v/>
      </c>
      <c r="F478" t="str">
        <f t="shared" si="91"/>
        <v/>
      </c>
      <c r="G478" t="str">
        <f t="shared" si="83"/>
        <v/>
      </c>
      <c r="H478" t="str">
        <f t="shared" si="84"/>
        <v/>
      </c>
      <c r="I478" t="str">
        <f t="shared" si="85"/>
        <v>Mixed</v>
      </c>
    </row>
    <row r="479" spans="5:9" x14ac:dyDescent="0.25">
      <c r="E479" t="str">
        <f t="shared" si="90"/>
        <v/>
      </c>
      <c r="F479" t="str">
        <f t="shared" si="91"/>
        <v/>
      </c>
      <c r="G479" t="str">
        <f t="shared" si="83"/>
        <v/>
      </c>
      <c r="H479" t="str">
        <f t="shared" si="84"/>
        <v/>
      </c>
      <c r="I479" t="str">
        <f t="shared" si="85"/>
        <v>Mixed</v>
      </c>
    </row>
    <row r="480" spans="5:9" x14ac:dyDescent="0.25">
      <c r="E480" t="str">
        <f t="shared" si="90"/>
        <v/>
      </c>
      <c r="F480" t="str">
        <f t="shared" si="91"/>
        <v/>
      </c>
      <c r="G480" t="str">
        <f t="shared" si="83"/>
        <v/>
      </c>
      <c r="H480" t="str">
        <f t="shared" si="84"/>
        <v/>
      </c>
      <c r="I480" t="str">
        <f t="shared" si="85"/>
        <v>Mixed</v>
      </c>
    </row>
    <row r="481" spans="5:9" x14ac:dyDescent="0.25">
      <c r="E481" t="str">
        <f>IF(AND(B48480=B480,A48480&gt;A480),C480,"")</f>
        <v/>
      </c>
      <c r="F481" t="str">
        <f>IF(AND(B48480=B480,A48480&gt;A480),D480,"")</f>
        <v/>
      </c>
      <c r="G481" t="str">
        <f t="shared" si="83"/>
        <v/>
      </c>
      <c r="H481" t="str">
        <f t="shared" si="84"/>
        <v/>
      </c>
      <c r="I481" t="str">
        <f t="shared" si="85"/>
        <v>Mixed</v>
      </c>
    </row>
    <row r="482" spans="5:9" x14ac:dyDescent="0.25">
      <c r="E482" t="str">
        <f t="shared" ref="E482:E490" si="92">IF(AND(B482=B481,A482&gt;A481),C481,"")</f>
        <v/>
      </c>
      <c r="F482" t="str">
        <f t="shared" ref="F482:F490" si="93">IF(AND(B482=B481,A482&gt;A481),D481,"")</f>
        <v/>
      </c>
      <c r="G482" t="str">
        <f t="shared" si="83"/>
        <v/>
      </c>
      <c r="H482" t="str">
        <f t="shared" si="84"/>
        <v/>
      </c>
      <c r="I482" t="str">
        <f t="shared" si="85"/>
        <v>Mixed</v>
      </c>
    </row>
    <row r="483" spans="5:9" x14ac:dyDescent="0.25">
      <c r="E483" t="str">
        <f t="shared" si="92"/>
        <v/>
      </c>
      <c r="F483" t="str">
        <f t="shared" si="93"/>
        <v/>
      </c>
      <c r="G483" t="str">
        <f t="shared" si="83"/>
        <v/>
      </c>
      <c r="H483" t="str">
        <f t="shared" si="84"/>
        <v/>
      </c>
      <c r="I483" t="str">
        <f t="shared" si="85"/>
        <v>Mixed</v>
      </c>
    </row>
    <row r="484" spans="5:9" x14ac:dyDescent="0.25">
      <c r="E484" t="str">
        <f t="shared" si="92"/>
        <v/>
      </c>
      <c r="F484" t="str">
        <f t="shared" si="93"/>
        <v/>
      </c>
      <c r="G484" t="str">
        <f t="shared" si="83"/>
        <v/>
      </c>
      <c r="H484" t="str">
        <f t="shared" si="84"/>
        <v/>
      </c>
      <c r="I484" t="str">
        <f t="shared" si="85"/>
        <v>Mixed</v>
      </c>
    </row>
    <row r="485" spans="5:9" x14ac:dyDescent="0.25">
      <c r="E485" t="str">
        <f t="shared" si="92"/>
        <v/>
      </c>
      <c r="F485" t="str">
        <f t="shared" si="93"/>
        <v/>
      </c>
      <c r="G485" t="str">
        <f t="shared" si="83"/>
        <v/>
      </c>
      <c r="H485" t="str">
        <f t="shared" si="84"/>
        <v/>
      </c>
      <c r="I485" t="str">
        <f t="shared" si="85"/>
        <v>Mixed</v>
      </c>
    </row>
    <row r="486" spans="5:9" x14ac:dyDescent="0.25">
      <c r="E486" t="str">
        <f t="shared" si="92"/>
        <v/>
      </c>
      <c r="F486" t="str">
        <f t="shared" si="93"/>
        <v/>
      </c>
      <c r="G486" t="str">
        <f t="shared" si="83"/>
        <v/>
      </c>
      <c r="H486" t="str">
        <f t="shared" si="84"/>
        <v/>
      </c>
      <c r="I486" t="str">
        <f t="shared" si="85"/>
        <v>Mixed</v>
      </c>
    </row>
    <row r="487" spans="5:9" x14ac:dyDescent="0.25">
      <c r="E487" t="str">
        <f t="shared" si="92"/>
        <v/>
      </c>
      <c r="F487" t="str">
        <f t="shared" si="93"/>
        <v/>
      </c>
      <c r="G487" t="str">
        <f t="shared" si="83"/>
        <v/>
      </c>
      <c r="H487" t="str">
        <f t="shared" si="84"/>
        <v/>
      </c>
      <c r="I487" t="str">
        <f t="shared" si="85"/>
        <v>Mixed</v>
      </c>
    </row>
    <row r="488" spans="5:9" x14ac:dyDescent="0.25">
      <c r="E488" t="str">
        <f t="shared" si="92"/>
        <v/>
      </c>
      <c r="F488" t="str">
        <f t="shared" si="93"/>
        <v/>
      </c>
      <c r="G488" t="str">
        <f t="shared" si="83"/>
        <v/>
      </c>
      <c r="H488" t="str">
        <f t="shared" si="84"/>
        <v/>
      </c>
      <c r="I488" t="str">
        <f t="shared" si="85"/>
        <v>Mixed</v>
      </c>
    </row>
    <row r="489" spans="5:9" x14ac:dyDescent="0.25">
      <c r="E489" t="str">
        <f t="shared" si="92"/>
        <v/>
      </c>
      <c r="F489" t="str">
        <f t="shared" si="93"/>
        <v/>
      </c>
      <c r="G489" t="str">
        <f t="shared" si="83"/>
        <v/>
      </c>
      <c r="H489" t="str">
        <f t="shared" si="84"/>
        <v/>
      </c>
      <c r="I489" t="str">
        <f t="shared" si="85"/>
        <v>Mixed</v>
      </c>
    </row>
    <row r="490" spans="5:9" x14ac:dyDescent="0.25">
      <c r="E490" t="str">
        <f t="shared" si="92"/>
        <v/>
      </c>
      <c r="F490" t="str">
        <f t="shared" si="93"/>
        <v/>
      </c>
      <c r="G490" t="str">
        <f t="shared" si="83"/>
        <v/>
      </c>
      <c r="H490" t="str">
        <f t="shared" si="84"/>
        <v/>
      </c>
      <c r="I490" t="str">
        <f t="shared" si="85"/>
        <v>Mixed</v>
      </c>
    </row>
    <row r="491" spans="5:9" x14ac:dyDescent="0.25">
      <c r="E491" t="str">
        <f>IF(AND(B49490=B490,A49490&gt;A490),C490,"")</f>
        <v/>
      </c>
      <c r="F491" t="str">
        <f>IF(AND(B49490=B490,A49490&gt;A490),D490,"")</f>
        <v/>
      </c>
      <c r="G491" t="str">
        <f t="shared" si="83"/>
        <v/>
      </c>
      <c r="H491" t="str">
        <f t="shared" si="84"/>
        <v/>
      </c>
      <c r="I491" t="str">
        <f t="shared" si="85"/>
        <v>Mixed</v>
      </c>
    </row>
    <row r="492" spans="5:9" x14ac:dyDescent="0.25">
      <c r="E492" t="str">
        <f t="shared" ref="E492:E500" si="94">IF(AND(B492=B491,A492&gt;A491),C491,"")</f>
        <v/>
      </c>
      <c r="F492" t="str">
        <f t="shared" ref="F492:F500" si="95">IF(AND(B492=B491,A492&gt;A491),D491,"")</f>
        <v/>
      </c>
      <c r="G492" t="str">
        <f t="shared" si="83"/>
        <v/>
      </c>
      <c r="H492" t="str">
        <f t="shared" si="84"/>
        <v/>
      </c>
      <c r="I492" t="str">
        <f t="shared" si="85"/>
        <v>Mixed</v>
      </c>
    </row>
    <row r="493" spans="5:9" x14ac:dyDescent="0.25">
      <c r="E493" t="str">
        <f t="shared" si="94"/>
        <v/>
      </c>
      <c r="F493" t="str">
        <f t="shared" si="95"/>
        <v/>
      </c>
      <c r="G493" t="str">
        <f t="shared" si="83"/>
        <v/>
      </c>
      <c r="H493" t="str">
        <f t="shared" si="84"/>
        <v/>
      </c>
      <c r="I493" t="str">
        <f t="shared" si="85"/>
        <v>Mixed</v>
      </c>
    </row>
    <row r="494" spans="5:9" x14ac:dyDescent="0.25">
      <c r="E494" t="str">
        <f t="shared" si="94"/>
        <v/>
      </c>
      <c r="F494" t="str">
        <f t="shared" si="95"/>
        <v/>
      </c>
      <c r="G494" t="str">
        <f t="shared" si="83"/>
        <v/>
      </c>
      <c r="H494" t="str">
        <f t="shared" si="84"/>
        <v/>
      </c>
      <c r="I494" t="str">
        <f t="shared" si="85"/>
        <v>Mixed</v>
      </c>
    </row>
    <row r="495" spans="5:9" x14ac:dyDescent="0.25">
      <c r="E495" t="str">
        <f t="shared" si="94"/>
        <v/>
      </c>
      <c r="F495" t="str">
        <f t="shared" si="95"/>
        <v/>
      </c>
      <c r="G495" t="str">
        <f t="shared" si="83"/>
        <v/>
      </c>
      <c r="H495" t="str">
        <f t="shared" si="84"/>
        <v/>
      </c>
      <c r="I495" t="str">
        <f t="shared" si="85"/>
        <v>Mixed</v>
      </c>
    </row>
    <row r="496" spans="5:9" x14ac:dyDescent="0.25">
      <c r="E496" t="str">
        <f t="shared" si="94"/>
        <v/>
      </c>
      <c r="F496" t="str">
        <f t="shared" si="95"/>
        <v/>
      </c>
      <c r="G496" t="str">
        <f t="shared" si="83"/>
        <v/>
      </c>
      <c r="H496" t="str">
        <f t="shared" si="84"/>
        <v/>
      </c>
      <c r="I496" t="str">
        <f t="shared" si="85"/>
        <v>Mixed</v>
      </c>
    </row>
    <row r="497" spans="5:9" x14ac:dyDescent="0.25">
      <c r="E497" t="str">
        <f t="shared" si="94"/>
        <v/>
      </c>
      <c r="F497" t="str">
        <f t="shared" si="95"/>
        <v/>
      </c>
      <c r="G497" t="str">
        <f t="shared" si="83"/>
        <v/>
      </c>
      <c r="H497" t="str">
        <f t="shared" si="84"/>
        <v/>
      </c>
      <c r="I497" t="str">
        <f t="shared" si="85"/>
        <v>Mixed</v>
      </c>
    </row>
    <row r="498" spans="5:9" x14ac:dyDescent="0.25">
      <c r="E498" t="str">
        <f t="shared" si="94"/>
        <v/>
      </c>
      <c r="F498" t="str">
        <f t="shared" si="95"/>
        <v/>
      </c>
      <c r="G498" t="str">
        <f t="shared" si="83"/>
        <v/>
      </c>
      <c r="H498" t="str">
        <f t="shared" si="84"/>
        <v/>
      </c>
      <c r="I498" t="str">
        <f t="shared" si="85"/>
        <v>Mixed</v>
      </c>
    </row>
    <row r="499" spans="5:9" x14ac:dyDescent="0.25">
      <c r="E499" t="str">
        <f t="shared" si="94"/>
        <v/>
      </c>
      <c r="F499" t="str">
        <f t="shared" si="95"/>
        <v/>
      </c>
      <c r="G499" t="str">
        <f t="shared" si="83"/>
        <v/>
      </c>
      <c r="H499" t="str">
        <f t="shared" si="84"/>
        <v/>
      </c>
      <c r="I499" t="str">
        <f t="shared" si="85"/>
        <v>Mixed</v>
      </c>
    </row>
    <row r="500" spans="5:9" x14ac:dyDescent="0.25">
      <c r="E500" t="str">
        <f t="shared" si="94"/>
        <v/>
      </c>
      <c r="F500" t="str">
        <f t="shared" si="95"/>
        <v/>
      </c>
      <c r="G500" t="str">
        <f t="shared" si="83"/>
        <v/>
      </c>
      <c r="H500" t="str">
        <f t="shared" si="84"/>
        <v/>
      </c>
      <c r="I500" t="str">
        <f t="shared" si="85"/>
        <v>Mixed</v>
      </c>
    </row>
    <row r="501" spans="5:9" x14ac:dyDescent="0.25">
      <c r="E501" t="str">
        <f>IF(AND(B50500=B500,A50500&gt;A500),C500,"")</f>
        <v/>
      </c>
      <c r="F501" t="str">
        <f>IF(AND(B50500=B500,A50500&gt;A500),D500,"")</f>
        <v/>
      </c>
      <c r="G501" t="str">
        <f t="shared" si="83"/>
        <v/>
      </c>
      <c r="H501" t="str">
        <f t="shared" si="84"/>
        <v/>
      </c>
      <c r="I501" t="str">
        <f t="shared" si="85"/>
        <v>Mixed</v>
      </c>
    </row>
  </sheetData>
  <conditionalFormatting sqref="A2:I501">
    <cfRule type="expression" dxfId="1" priority="1">
      <formula>$I2="Bullish"</formula>
    </cfRule>
    <cfRule type="expression" dxfId="0" priority="2">
      <formula>$I2="Bearish"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C2A0-1770-4FDB-A4A1-FD03036A1AC9}">
  <dimension ref="A1:D71"/>
  <sheetViews>
    <sheetView zoomScaleNormal="100" workbookViewId="0">
      <selection activeCell="G47" sqref="G47"/>
    </sheetView>
  </sheetViews>
  <sheetFormatPr defaultRowHeight="15" x14ac:dyDescent="0.25"/>
  <cols>
    <col min="1" max="1" width="35.42578125" bestFit="1" customWidth="1"/>
    <col min="2" max="2" width="10.5703125" bestFit="1" customWidth="1"/>
    <col min="3" max="3" width="10.85546875" bestFit="1" customWidth="1"/>
    <col min="4" max="4" width="12" bestFit="1" customWidth="1"/>
  </cols>
  <sheetData>
    <row r="1" spans="1:4" x14ac:dyDescent="0.25">
      <c r="A1" s="14" t="s">
        <v>9</v>
      </c>
      <c r="B1" s="15" t="s">
        <v>10</v>
      </c>
      <c r="C1" s="15" t="s">
        <v>11</v>
      </c>
      <c r="D1" s="16" t="s">
        <v>12</v>
      </c>
    </row>
    <row r="2" spans="1:4" x14ac:dyDescent="0.25">
      <c r="A2" s="8" t="s">
        <v>13</v>
      </c>
      <c r="D2" s="6"/>
    </row>
    <row r="3" spans="1:4" x14ac:dyDescent="0.25">
      <c r="A3" s="5" t="s">
        <v>14</v>
      </c>
      <c r="B3">
        <v>4.75</v>
      </c>
      <c r="C3">
        <v>4.6500000000000004</v>
      </c>
      <c r="D3" s="6">
        <v>4.71</v>
      </c>
    </row>
    <row r="4" spans="1:4" x14ac:dyDescent="0.25">
      <c r="A4" s="8" t="s">
        <v>15</v>
      </c>
      <c r="D4" s="6"/>
    </row>
    <row r="5" spans="1:4" x14ac:dyDescent="0.25">
      <c r="A5" s="5" t="s">
        <v>16</v>
      </c>
      <c r="B5">
        <v>4.1500000000000004</v>
      </c>
      <c r="C5">
        <v>4.0199999999999996</v>
      </c>
      <c r="D5" s="6">
        <v>4.07</v>
      </c>
    </row>
    <row r="6" spans="1:4" x14ac:dyDescent="0.25">
      <c r="A6" s="8" t="s">
        <v>17</v>
      </c>
      <c r="D6" s="6"/>
    </row>
    <row r="7" spans="1:4" ht="15.75" thickBot="1" x14ac:dyDescent="0.3">
      <c r="A7" s="5" t="s">
        <v>18</v>
      </c>
      <c r="B7">
        <v>3.62</v>
      </c>
      <c r="C7">
        <v>3.49</v>
      </c>
      <c r="D7" s="6">
        <v>3.52</v>
      </c>
    </row>
    <row r="8" spans="1:4" ht="16.5" thickTop="1" thickBot="1" x14ac:dyDescent="0.3">
      <c r="A8" s="3" t="s">
        <v>19</v>
      </c>
      <c r="D8" s="6"/>
    </row>
    <row r="9" spans="1:4" ht="15.75" thickTop="1" x14ac:dyDescent="0.25">
      <c r="A9" s="5" t="s">
        <v>20</v>
      </c>
      <c r="B9">
        <v>79.849999999999994</v>
      </c>
      <c r="C9">
        <v>80.61</v>
      </c>
      <c r="D9" s="6">
        <v>80.37</v>
      </c>
    </row>
    <row r="10" spans="1:4" x14ac:dyDescent="0.25">
      <c r="A10" s="7" t="s">
        <v>21</v>
      </c>
      <c r="D10" s="6"/>
    </row>
    <row r="11" spans="1:4" x14ac:dyDescent="0.25">
      <c r="A11" s="5" t="s">
        <v>22</v>
      </c>
      <c r="B11">
        <v>110.1</v>
      </c>
      <c r="C11">
        <v>111.6</v>
      </c>
      <c r="D11" s="6">
        <v>110.9</v>
      </c>
    </row>
    <row r="12" spans="1:4" x14ac:dyDescent="0.25">
      <c r="A12" s="7" t="s">
        <v>23</v>
      </c>
      <c r="D12" s="6"/>
    </row>
    <row r="13" spans="1:4" x14ac:dyDescent="0.25">
      <c r="A13" s="5" t="s">
        <v>24</v>
      </c>
      <c r="B13" s="1">
        <v>6476</v>
      </c>
      <c r="C13" s="1">
        <v>6713</v>
      </c>
      <c r="D13" s="9">
        <v>6602</v>
      </c>
    </row>
    <row r="14" spans="1:4" x14ac:dyDescent="0.25">
      <c r="A14" s="8" t="s">
        <v>25</v>
      </c>
      <c r="D14" s="6"/>
    </row>
    <row r="15" spans="1:4" x14ac:dyDescent="0.25">
      <c r="A15" s="5" t="s">
        <v>26</v>
      </c>
      <c r="B15" s="1">
        <v>21830</v>
      </c>
      <c r="C15" s="1">
        <v>22906</v>
      </c>
      <c r="D15" s="9">
        <v>22273</v>
      </c>
    </row>
    <row r="16" spans="1:4" x14ac:dyDescent="0.25">
      <c r="A16" s="8" t="s">
        <v>27</v>
      </c>
      <c r="D16" s="6"/>
    </row>
    <row r="17" spans="1:4" x14ac:dyDescent="0.25">
      <c r="A17" s="5" t="s">
        <v>28</v>
      </c>
      <c r="B17" s="1">
        <v>2278</v>
      </c>
      <c r="C17" s="1">
        <v>2412</v>
      </c>
      <c r="D17" s="9">
        <v>2369</v>
      </c>
    </row>
    <row r="18" spans="1:4" x14ac:dyDescent="0.25">
      <c r="A18" s="8" t="s">
        <v>29</v>
      </c>
      <c r="D18" s="6"/>
    </row>
    <row r="19" spans="1:4" x14ac:dyDescent="0.25">
      <c r="A19" s="5" t="s">
        <v>30</v>
      </c>
      <c r="B19">
        <v>267</v>
      </c>
      <c r="C19">
        <v>286</v>
      </c>
      <c r="D19" s="6">
        <v>273</v>
      </c>
    </row>
    <row r="20" spans="1:4" x14ac:dyDescent="0.25">
      <c r="A20" s="7" t="s">
        <v>31</v>
      </c>
      <c r="D20" s="6"/>
    </row>
    <row r="21" spans="1:4" x14ac:dyDescent="0.25">
      <c r="A21" s="5" t="s">
        <v>32</v>
      </c>
      <c r="B21">
        <v>151</v>
      </c>
      <c r="C21">
        <v>156</v>
      </c>
      <c r="D21" s="6">
        <v>154.61000000000001</v>
      </c>
    </row>
    <row r="22" spans="1:4" x14ac:dyDescent="0.25">
      <c r="A22" s="8" t="s">
        <v>33</v>
      </c>
      <c r="D22" s="6"/>
    </row>
    <row r="23" spans="1:4" ht="15.75" thickBot="1" x14ac:dyDescent="0.3">
      <c r="A23" s="5" t="s">
        <v>34</v>
      </c>
      <c r="B23" s="1">
        <v>3806</v>
      </c>
      <c r="C23" s="1">
        <v>3961</v>
      </c>
      <c r="D23" s="9">
        <v>3836</v>
      </c>
    </row>
    <row r="24" spans="1:4" ht="16.5" thickTop="1" thickBot="1" x14ac:dyDescent="0.3">
      <c r="A24" s="10" t="s">
        <v>35</v>
      </c>
      <c r="D24" s="6"/>
    </row>
    <row r="25" spans="1:4" ht="15.75" thickTop="1" x14ac:dyDescent="0.25">
      <c r="A25" s="5" t="s">
        <v>36</v>
      </c>
      <c r="B25" s="1">
        <v>48218</v>
      </c>
      <c r="C25" s="1">
        <v>51210</v>
      </c>
      <c r="D25" s="9">
        <v>48625</v>
      </c>
    </row>
    <row r="26" spans="1:4" x14ac:dyDescent="0.25">
      <c r="A26" s="8" t="s">
        <v>37</v>
      </c>
      <c r="D26" s="6"/>
    </row>
    <row r="27" spans="1:4" x14ac:dyDescent="0.25">
      <c r="A27" s="5" t="s">
        <v>38</v>
      </c>
      <c r="B27" s="1">
        <v>22708</v>
      </c>
      <c r="C27" s="1">
        <v>23815</v>
      </c>
      <c r="D27" s="9">
        <v>23091</v>
      </c>
    </row>
    <row r="28" spans="1:4" x14ac:dyDescent="0.25">
      <c r="A28" s="7" t="s">
        <v>39</v>
      </c>
      <c r="D28" s="6"/>
    </row>
    <row r="29" spans="1:4" x14ac:dyDescent="0.25">
      <c r="A29" s="5" t="s">
        <v>40</v>
      </c>
      <c r="B29">
        <v>19.87</v>
      </c>
      <c r="C29">
        <v>27.97</v>
      </c>
      <c r="D29" s="6">
        <v>23.43</v>
      </c>
    </row>
    <row r="30" spans="1:4" x14ac:dyDescent="0.25">
      <c r="A30" s="7" t="s">
        <v>41</v>
      </c>
      <c r="D30" s="6"/>
    </row>
    <row r="31" spans="1:4" x14ac:dyDescent="0.25">
      <c r="A31" s="5" t="s">
        <v>42</v>
      </c>
      <c r="B31">
        <v>99.46</v>
      </c>
      <c r="C31">
        <v>100.57</v>
      </c>
      <c r="D31" s="6">
        <v>100.07</v>
      </c>
    </row>
    <row r="32" spans="1:4" x14ac:dyDescent="0.25">
      <c r="A32" s="8" t="s">
        <v>43</v>
      </c>
      <c r="D32" s="6"/>
    </row>
    <row r="33" spans="1:4" x14ac:dyDescent="0.25">
      <c r="A33" s="5" t="s">
        <v>44</v>
      </c>
      <c r="B33">
        <v>1.1479999999999999</v>
      </c>
      <c r="C33">
        <v>1.1599999999999999</v>
      </c>
      <c r="D33" s="6">
        <v>1.1539999999999999</v>
      </c>
    </row>
    <row r="34" spans="1:4" x14ac:dyDescent="0.25">
      <c r="A34" s="7" t="s">
        <v>45</v>
      </c>
      <c r="D34" s="6"/>
    </row>
    <row r="35" spans="1:4" x14ac:dyDescent="0.25">
      <c r="A35" s="5" t="s">
        <v>46</v>
      </c>
      <c r="B35">
        <v>154.18</v>
      </c>
      <c r="C35">
        <v>157.97</v>
      </c>
      <c r="D35" s="6">
        <v>156.82</v>
      </c>
    </row>
    <row r="36" spans="1:4" x14ac:dyDescent="0.25">
      <c r="A36" s="8" t="s">
        <v>47</v>
      </c>
      <c r="D36" s="6"/>
    </row>
    <row r="37" spans="1:4" x14ac:dyDescent="0.25">
      <c r="A37" s="5" t="s">
        <v>48</v>
      </c>
      <c r="B37">
        <v>1.3029999999999999</v>
      </c>
      <c r="C37">
        <v>1.319</v>
      </c>
      <c r="D37" s="6">
        <v>1.3109999999999999</v>
      </c>
    </row>
    <row r="38" spans="1:4" x14ac:dyDescent="0.25">
      <c r="A38" s="8" t="s">
        <v>49</v>
      </c>
      <c r="D38" s="6"/>
    </row>
    <row r="39" spans="1:4" x14ac:dyDescent="0.25">
      <c r="A39" s="5" t="s">
        <v>50</v>
      </c>
      <c r="B39">
        <v>0.70599999999999996</v>
      </c>
      <c r="C39">
        <v>0.71699999999999997</v>
      </c>
      <c r="D39" s="6">
        <v>0.70799999999999996</v>
      </c>
    </row>
    <row r="40" spans="1:4" x14ac:dyDescent="0.25">
      <c r="A40" s="8" t="s">
        <v>51</v>
      </c>
      <c r="D40" s="6"/>
    </row>
    <row r="41" spans="1:4" x14ac:dyDescent="0.25">
      <c r="A41" s="5" t="s">
        <v>52</v>
      </c>
      <c r="B41">
        <v>57.01</v>
      </c>
      <c r="C41">
        <v>59.96</v>
      </c>
      <c r="D41" s="6">
        <v>57.98</v>
      </c>
    </row>
    <row r="42" spans="1:4" x14ac:dyDescent="0.25">
      <c r="A42" s="8" t="s">
        <v>53</v>
      </c>
      <c r="D42" s="6"/>
    </row>
    <row r="43" spans="1:4" x14ac:dyDescent="0.25">
      <c r="A43" s="5" t="s">
        <v>54</v>
      </c>
      <c r="B43">
        <v>61</v>
      </c>
      <c r="C43">
        <v>64.150000000000006</v>
      </c>
      <c r="D43" s="6">
        <v>62.47</v>
      </c>
    </row>
    <row r="44" spans="1:4" x14ac:dyDescent="0.25">
      <c r="A44" s="7" t="s">
        <v>55</v>
      </c>
      <c r="D44" s="6"/>
    </row>
    <row r="45" spans="1:4" x14ac:dyDescent="0.25">
      <c r="A45" s="5" t="s">
        <v>56</v>
      </c>
      <c r="B45">
        <v>4.28</v>
      </c>
      <c r="C45">
        <v>4.75</v>
      </c>
      <c r="D45" s="6">
        <v>4.57</v>
      </c>
    </row>
    <row r="46" spans="1:4" x14ac:dyDescent="0.25">
      <c r="A46" s="7" t="s">
        <v>57</v>
      </c>
      <c r="D46" s="6"/>
    </row>
    <row r="47" spans="1:4" x14ac:dyDescent="0.25">
      <c r="A47" s="5" t="s">
        <v>58</v>
      </c>
      <c r="B47" s="1">
        <v>4001</v>
      </c>
      <c r="C47" s="1">
        <v>4208</v>
      </c>
      <c r="D47" s="9">
        <v>4071</v>
      </c>
    </row>
    <row r="48" spans="1:4" x14ac:dyDescent="0.25">
      <c r="A48" s="7" t="s">
        <v>59</v>
      </c>
      <c r="D48" s="6"/>
    </row>
    <row r="49" spans="1:4" x14ac:dyDescent="0.25">
      <c r="A49" s="5" t="s">
        <v>60</v>
      </c>
      <c r="B49">
        <v>4.8899999999999997</v>
      </c>
      <c r="C49">
        <v>5.14</v>
      </c>
      <c r="D49" s="6">
        <v>4.99</v>
      </c>
    </row>
    <row r="50" spans="1:4" x14ac:dyDescent="0.25">
      <c r="A50" s="7" t="s">
        <v>61</v>
      </c>
      <c r="D50" s="6"/>
    </row>
    <row r="51" spans="1:4" x14ac:dyDescent="0.25">
      <c r="A51" s="5" t="s">
        <v>62</v>
      </c>
      <c r="B51">
        <v>49</v>
      </c>
      <c r="C51">
        <v>53.29</v>
      </c>
      <c r="D51" s="6">
        <v>49.97</v>
      </c>
    </row>
    <row r="52" spans="1:4" x14ac:dyDescent="0.25">
      <c r="A52" s="8" t="s">
        <v>63</v>
      </c>
      <c r="D52" s="6"/>
    </row>
    <row r="53" spans="1:4" x14ac:dyDescent="0.25">
      <c r="A53" s="5" t="s">
        <v>64</v>
      </c>
      <c r="B53">
        <v>466</v>
      </c>
      <c r="C53">
        <v>496</v>
      </c>
      <c r="D53" s="6">
        <v>472</v>
      </c>
    </row>
    <row r="54" spans="1:4" x14ac:dyDescent="0.25">
      <c r="A54" s="8" t="s">
        <v>65</v>
      </c>
      <c r="D54" s="6"/>
    </row>
    <row r="55" spans="1:4" x14ac:dyDescent="0.25">
      <c r="A55" s="5" t="s">
        <v>66</v>
      </c>
      <c r="B55">
        <v>265</v>
      </c>
      <c r="C55">
        <v>279</v>
      </c>
      <c r="D55" s="6">
        <v>271</v>
      </c>
    </row>
    <row r="56" spans="1:4" x14ac:dyDescent="0.25">
      <c r="A56" s="8" t="s">
        <v>67</v>
      </c>
      <c r="D56" s="6"/>
    </row>
    <row r="57" spans="1:4" x14ac:dyDescent="0.25">
      <c r="A57" s="5" t="s">
        <v>68</v>
      </c>
      <c r="B57">
        <v>209</v>
      </c>
      <c r="C57">
        <v>231</v>
      </c>
      <c r="D57" s="6">
        <v>221</v>
      </c>
    </row>
    <row r="58" spans="1:4" x14ac:dyDescent="0.25">
      <c r="A58" s="8" t="s">
        <v>69</v>
      </c>
      <c r="D58" s="6"/>
    </row>
    <row r="59" spans="1:4" x14ac:dyDescent="0.25">
      <c r="A59" s="5" t="s">
        <v>70</v>
      </c>
      <c r="B59">
        <v>579</v>
      </c>
      <c r="C59">
        <v>624</v>
      </c>
      <c r="D59" s="6">
        <v>594</v>
      </c>
    </row>
    <row r="60" spans="1:4" x14ac:dyDescent="0.25">
      <c r="A60" s="7" t="s">
        <v>71</v>
      </c>
      <c r="D60" s="6"/>
    </row>
    <row r="61" spans="1:4" x14ac:dyDescent="0.25">
      <c r="A61" s="5" t="s">
        <v>72</v>
      </c>
      <c r="B61">
        <v>281</v>
      </c>
      <c r="C61">
        <v>304</v>
      </c>
      <c r="D61" s="6">
        <v>300</v>
      </c>
    </row>
    <row r="62" spans="1:4" x14ac:dyDescent="0.25">
      <c r="A62" s="8" t="s">
        <v>73</v>
      </c>
      <c r="D62" s="6"/>
    </row>
    <row r="63" spans="1:4" x14ac:dyDescent="0.25">
      <c r="A63" s="5" t="s">
        <v>74</v>
      </c>
      <c r="B63">
        <v>100</v>
      </c>
      <c r="C63">
        <v>111</v>
      </c>
      <c r="D63" s="6">
        <v>104</v>
      </c>
    </row>
    <row r="64" spans="1:4" x14ac:dyDescent="0.25">
      <c r="A64" s="8" t="s">
        <v>75</v>
      </c>
      <c r="D64" s="6"/>
    </row>
    <row r="65" spans="1:4" ht="15.75" thickBot="1" x14ac:dyDescent="0.3">
      <c r="A65" s="5" t="s">
        <v>76</v>
      </c>
      <c r="B65">
        <v>376</v>
      </c>
      <c r="C65">
        <v>423</v>
      </c>
      <c r="D65" s="6">
        <v>391</v>
      </c>
    </row>
    <row r="66" spans="1:4" ht="16.5" thickTop="1" thickBot="1" x14ac:dyDescent="0.3">
      <c r="A66" s="10" t="s">
        <v>77</v>
      </c>
      <c r="D66" s="6"/>
    </row>
    <row r="67" spans="1:4" ht="15.75" thickTop="1" x14ac:dyDescent="0.25">
      <c r="A67" s="5" t="s">
        <v>78</v>
      </c>
      <c r="B67">
        <v>174</v>
      </c>
      <c r="C67">
        <v>195</v>
      </c>
      <c r="D67" s="6">
        <v>179</v>
      </c>
    </row>
    <row r="68" spans="1:4" x14ac:dyDescent="0.25">
      <c r="A68" s="8" t="s">
        <v>79</v>
      </c>
      <c r="D68" s="6"/>
    </row>
    <row r="69" spans="1:4" x14ac:dyDescent="0.25">
      <c r="A69" s="5" t="s">
        <v>80</v>
      </c>
      <c r="B69">
        <v>194</v>
      </c>
      <c r="C69">
        <v>224</v>
      </c>
      <c r="D69" s="6">
        <v>198.76</v>
      </c>
    </row>
    <row r="70" spans="1:4" x14ac:dyDescent="0.25">
      <c r="A70" s="8" t="s">
        <v>81</v>
      </c>
      <c r="D70" s="6"/>
    </row>
    <row r="71" spans="1:4" ht="15.75" thickBot="1" x14ac:dyDescent="0.3">
      <c r="A71" s="11" t="s">
        <v>82</v>
      </c>
      <c r="B71" s="12">
        <v>80726</v>
      </c>
      <c r="C71" s="12">
        <v>89954</v>
      </c>
      <c r="D71" s="13">
        <v>86157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D2A2-6A10-48CE-B60F-44D9502C7262}">
  <dimension ref="A1:I71"/>
  <sheetViews>
    <sheetView topLeftCell="A39" zoomScaleNormal="100" workbookViewId="0">
      <selection sqref="A1:D71"/>
    </sheetView>
  </sheetViews>
  <sheetFormatPr defaultRowHeight="15" x14ac:dyDescent="0.25"/>
  <cols>
    <col min="1" max="1" width="35.42578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8" x14ac:dyDescent="0.25">
      <c r="A2" s="18" t="s">
        <v>13</v>
      </c>
      <c r="B2" s="18">
        <v>4.74</v>
      </c>
      <c r="C2" s="18">
        <v>4.6399999999999997</v>
      </c>
      <c r="D2" s="18">
        <v>4.67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18" t="s">
        <v>15</v>
      </c>
      <c r="B4" s="18">
        <v>4.1399999999999997</v>
      </c>
      <c r="C4" s="18">
        <v>4.01</v>
      </c>
      <c r="D4" s="18">
        <v>4.03</v>
      </c>
    </row>
    <row r="5" spans="1:8" x14ac:dyDescent="0.25">
      <c r="A5" s="4" t="s">
        <v>16</v>
      </c>
      <c r="B5" s="4"/>
      <c r="C5" s="4"/>
      <c r="D5" s="4"/>
    </row>
    <row r="6" spans="1:8" x14ac:dyDescent="0.25">
      <c r="A6" s="18" t="s">
        <v>17</v>
      </c>
      <c r="B6" s="18">
        <v>3.61</v>
      </c>
      <c r="C6" s="18">
        <v>3.47</v>
      </c>
      <c r="D6" s="18">
        <v>3.5</v>
      </c>
    </row>
    <row r="7" spans="1:8" x14ac:dyDescent="0.25">
      <c r="A7" s="4" t="s">
        <v>18</v>
      </c>
      <c r="B7" s="4"/>
      <c r="C7" s="4"/>
      <c r="D7" s="4"/>
    </row>
    <row r="8" spans="1:8" x14ac:dyDescent="0.25">
      <c r="A8" s="20" t="s">
        <v>83</v>
      </c>
      <c r="B8" s="20">
        <v>79.930000000000007</v>
      </c>
      <c r="C8" s="20">
        <v>80.69</v>
      </c>
      <c r="D8" s="20">
        <v>80.59</v>
      </c>
    </row>
    <row r="9" spans="1:8" x14ac:dyDescent="0.25">
      <c r="A9" s="4" t="s">
        <v>20</v>
      </c>
      <c r="B9" s="4"/>
      <c r="C9" s="4"/>
      <c r="D9" s="4"/>
    </row>
    <row r="10" spans="1:8" x14ac:dyDescent="0.25">
      <c r="A10" s="20" t="s">
        <v>21</v>
      </c>
      <c r="B10" s="20">
        <v>110.2</v>
      </c>
      <c r="C10" s="20">
        <v>111.7</v>
      </c>
      <c r="D10" s="20">
        <v>111.4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20" t="s">
        <v>23</v>
      </c>
      <c r="B12" s="21">
        <v>6496</v>
      </c>
      <c r="C12" s="21">
        <v>6762</v>
      </c>
      <c r="D12" s="21">
        <v>6705</v>
      </c>
    </row>
    <row r="13" spans="1:8" ht="15.75" thickBot="1" x14ac:dyDescent="0.3">
      <c r="A13" s="4" t="s">
        <v>24</v>
      </c>
      <c r="B13" s="4"/>
      <c r="C13" s="4"/>
      <c r="D13" s="4"/>
    </row>
    <row r="14" spans="1:8" ht="16.5" thickTop="1" thickBot="1" x14ac:dyDescent="0.3">
      <c r="A14" s="3" t="s">
        <v>84</v>
      </c>
      <c r="B14" s="22">
        <v>21912</v>
      </c>
      <c r="C14" s="22">
        <v>23204</v>
      </c>
      <c r="D14" s="22">
        <v>22872</v>
      </c>
    </row>
    <row r="15" spans="1:8" ht="15.75" thickTop="1" x14ac:dyDescent="0.25">
      <c r="A15" s="4" t="s">
        <v>26</v>
      </c>
      <c r="B15" s="4"/>
      <c r="C15" s="4"/>
      <c r="D15" s="4"/>
    </row>
    <row r="16" spans="1:8" x14ac:dyDescent="0.25">
      <c r="A16" s="18" t="s">
        <v>27</v>
      </c>
      <c r="B16" s="19">
        <v>2296</v>
      </c>
      <c r="C16" s="19">
        <v>2446</v>
      </c>
      <c r="D16" s="19">
        <v>2414</v>
      </c>
      <c r="H16" s="2"/>
    </row>
    <row r="17" spans="1:9" x14ac:dyDescent="0.25">
      <c r="A17" s="4" t="s">
        <v>28</v>
      </c>
      <c r="B17" s="4"/>
      <c r="C17" s="4"/>
      <c r="D17" s="4"/>
    </row>
    <row r="18" spans="1:9" x14ac:dyDescent="0.25">
      <c r="A18" s="18" t="s">
        <v>29</v>
      </c>
      <c r="B18" s="18">
        <v>268</v>
      </c>
      <c r="C18" s="18">
        <v>286</v>
      </c>
      <c r="D18" s="18">
        <v>280</v>
      </c>
    </row>
    <row r="19" spans="1:9" x14ac:dyDescent="0.25">
      <c r="A19" s="4" t="s">
        <v>30</v>
      </c>
      <c r="B19" s="4"/>
      <c r="C19" s="4"/>
      <c r="D19" s="4"/>
    </row>
    <row r="20" spans="1:9" x14ac:dyDescent="0.25">
      <c r="A20" s="20" t="s">
        <v>31</v>
      </c>
      <c r="B20" s="20">
        <v>151</v>
      </c>
      <c r="C20" s="20">
        <v>157</v>
      </c>
      <c r="D20" s="20">
        <v>155.26</v>
      </c>
    </row>
    <row r="21" spans="1:9" x14ac:dyDescent="0.25">
      <c r="A21" s="4" t="s">
        <v>32</v>
      </c>
      <c r="B21" s="4"/>
      <c r="C21" s="4"/>
      <c r="D21" s="4"/>
    </row>
    <row r="22" spans="1:9" ht="15.75" thickBot="1" x14ac:dyDescent="0.3">
      <c r="A22" s="18" t="s">
        <v>33</v>
      </c>
      <c r="B22" s="19">
        <v>3804</v>
      </c>
      <c r="C22" s="19">
        <v>3943</v>
      </c>
      <c r="D22" s="19">
        <v>3870</v>
      </c>
    </row>
    <row r="23" spans="1:9" ht="16.5" thickTop="1" thickBot="1" x14ac:dyDescent="0.3">
      <c r="A23" s="4" t="s">
        <v>34</v>
      </c>
      <c r="B23" s="4"/>
      <c r="C23" s="4"/>
      <c r="D23" s="4"/>
      <c r="I23" s="3"/>
    </row>
    <row r="24" spans="1:9" ht="16.5" thickTop="1" thickBot="1" x14ac:dyDescent="0.3">
      <c r="A24" s="3" t="s">
        <v>35</v>
      </c>
      <c r="B24" s="22">
        <v>47813</v>
      </c>
      <c r="C24" s="22">
        <v>49993</v>
      </c>
      <c r="D24" s="22">
        <v>48659</v>
      </c>
    </row>
    <row r="25" spans="1:9" ht="15.75" thickTop="1" x14ac:dyDescent="0.25">
      <c r="A25" s="4" t="s">
        <v>36</v>
      </c>
      <c r="B25" s="4"/>
      <c r="C25" s="4"/>
      <c r="D25" s="4"/>
    </row>
    <row r="26" spans="1:9" x14ac:dyDescent="0.25">
      <c r="A26" s="18" t="s">
        <v>37</v>
      </c>
      <c r="B26" s="19">
        <v>22567</v>
      </c>
      <c r="C26" s="19">
        <v>23765</v>
      </c>
      <c r="D26" s="19">
        <v>23239</v>
      </c>
    </row>
    <row r="27" spans="1:9" x14ac:dyDescent="0.25">
      <c r="A27" s="4" t="s">
        <v>38</v>
      </c>
      <c r="B27" s="4"/>
      <c r="C27" s="4"/>
      <c r="D27" s="4"/>
    </row>
    <row r="28" spans="1:9" x14ac:dyDescent="0.25">
      <c r="A28" s="20" t="s">
        <v>39</v>
      </c>
      <c r="B28" s="20">
        <v>18.440000000000001</v>
      </c>
      <c r="C28" s="20">
        <v>27.44</v>
      </c>
      <c r="D28" s="20">
        <v>20.52</v>
      </c>
    </row>
    <row r="29" spans="1:9" x14ac:dyDescent="0.25">
      <c r="A29" s="4" t="s">
        <v>40</v>
      </c>
      <c r="B29" s="4"/>
      <c r="C29" s="4"/>
      <c r="D29" s="4"/>
    </row>
    <row r="30" spans="1:9" x14ac:dyDescent="0.25">
      <c r="A30" s="20" t="s">
        <v>41</v>
      </c>
      <c r="B30" s="20">
        <v>99.53</v>
      </c>
      <c r="C30" s="20">
        <v>100.66</v>
      </c>
      <c r="D30" s="20">
        <v>100.12</v>
      </c>
    </row>
    <row r="31" spans="1:9" x14ac:dyDescent="0.25">
      <c r="A31" s="4" t="s">
        <v>42</v>
      </c>
      <c r="B31" s="4"/>
      <c r="C31" s="4"/>
      <c r="D31" s="4"/>
    </row>
    <row r="32" spans="1:9" x14ac:dyDescent="0.25">
      <c r="A32" s="18" t="s">
        <v>43</v>
      </c>
      <c r="B32" s="18">
        <v>1.147</v>
      </c>
      <c r="C32" s="18">
        <v>1.1599999999999999</v>
      </c>
      <c r="D32" s="18">
        <v>1.153</v>
      </c>
    </row>
    <row r="33" spans="1:4" x14ac:dyDescent="0.25">
      <c r="A33" s="4" t="s">
        <v>44</v>
      </c>
      <c r="B33" s="4"/>
      <c r="C33" s="4"/>
      <c r="D33" s="4"/>
    </row>
    <row r="34" spans="1:4" x14ac:dyDescent="0.25">
      <c r="A34" s="20" t="s">
        <v>45</v>
      </c>
      <c r="B34" s="20">
        <v>154.34</v>
      </c>
      <c r="C34" s="20">
        <v>157.99</v>
      </c>
      <c r="D34" s="20">
        <v>156.38</v>
      </c>
    </row>
    <row r="35" spans="1:4" x14ac:dyDescent="0.25">
      <c r="A35" s="4" t="s">
        <v>46</v>
      </c>
      <c r="B35" s="4"/>
      <c r="C35" s="4"/>
      <c r="D35" s="4"/>
    </row>
    <row r="36" spans="1:4" x14ac:dyDescent="0.25">
      <c r="A36" s="18" t="s">
        <v>47</v>
      </c>
      <c r="B36" s="18">
        <v>1.302</v>
      </c>
      <c r="C36" s="18">
        <v>1.319</v>
      </c>
      <c r="D36" s="18">
        <v>1.3120000000000001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18" t="s">
        <v>49</v>
      </c>
      <c r="B38" s="18">
        <v>0.70499999999999996</v>
      </c>
      <c r="C38" s="18">
        <v>0.71699999999999997</v>
      </c>
      <c r="D38" s="18">
        <v>0.70799999999999996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57.12</v>
      </c>
      <c r="C40" s="18">
        <v>60.73</v>
      </c>
      <c r="D40" s="18">
        <v>58.89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61.04</v>
      </c>
      <c r="C42" s="18">
        <v>64.69</v>
      </c>
      <c r="D42" s="18">
        <v>63.39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4.29</v>
      </c>
      <c r="C44" s="20">
        <v>4.72</v>
      </c>
      <c r="D44" s="20">
        <v>4.5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4004</v>
      </c>
      <c r="C46" s="21">
        <v>4211</v>
      </c>
      <c r="D46" s="21">
        <v>4133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0">
        <v>4.92</v>
      </c>
      <c r="C48" s="20">
        <v>5.16</v>
      </c>
      <c r="D48" s="20">
        <v>4.99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49.07</v>
      </c>
      <c r="C50" s="20">
        <v>53.24</v>
      </c>
      <c r="D50" s="20">
        <v>51.34</v>
      </c>
    </row>
    <row r="51" spans="1:4" x14ac:dyDescent="0.25">
      <c r="A51" s="4" t="s">
        <v>62</v>
      </c>
      <c r="B51" s="4"/>
      <c r="C51" s="4"/>
      <c r="D51" s="4"/>
    </row>
    <row r="52" spans="1:4" x14ac:dyDescent="0.25">
      <c r="A52" s="18" t="s">
        <v>63</v>
      </c>
      <c r="B52" s="18">
        <v>461</v>
      </c>
      <c r="C52" s="18">
        <v>491</v>
      </c>
      <c r="D52" s="18">
        <v>474</v>
      </c>
    </row>
    <row r="53" spans="1:4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267</v>
      </c>
      <c r="C54" s="20">
        <v>279</v>
      </c>
      <c r="D54" s="20">
        <v>276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18" t="s">
        <v>67</v>
      </c>
      <c r="B56" s="18">
        <v>210</v>
      </c>
      <c r="C56" s="18">
        <v>232</v>
      </c>
      <c r="D56" s="18">
        <v>226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582</v>
      </c>
      <c r="C58" s="18">
        <v>622</v>
      </c>
      <c r="D58" s="18">
        <v>613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290</v>
      </c>
      <c r="C60" s="20">
        <v>324</v>
      </c>
      <c r="D60" s="20">
        <v>319</v>
      </c>
    </row>
    <row r="61" spans="1:4" x14ac:dyDescent="0.25">
      <c r="A61" s="4" t="s">
        <v>72</v>
      </c>
      <c r="B61" s="4"/>
      <c r="C61" s="4"/>
      <c r="D61" s="4"/>
    </row>
    <row r="62" spans="1:4" x14ac:dyDescent="0.25">
      <c r="A62" s="18" t="s">
        <v>73</v>
      </c>
      <c r="B62" s="18">
        <v>101</v>
      </c>
      <c r="C62" s="18">
        <v>111</v>
      </c>
      <c r="D62" s="18">
        <v>107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18" t="s">
        <v>75</v>
      </c>
      <c r="B64" s="18">
        <v>381</v>
      </c>
      <c r="C64" s="18">
        <v>430</v>
      </c>
      <c r="D64" s="18">
        <v>418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3" t="s">
        <v>77</v>
      </c>
      <c r="B66" s="3">
        <v>174</v>
      </c>
      <c r="C66" s="3">
        <v>192</v>
      </c>
      <c r="D66" s="3">
        <v>183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192</v>
      </c>
      <c r="C68" s="18">
        <v>223</v>
      </c>
      <c r="D68" s="18">
        <v>200.28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81544</v>
      </c>
      <c r="C70" s="19">
        <v>93176</v>
      </c>
      <c r="D70" s="19">
        <v>88336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393F-067E-449A-95E6-352305A2EC1A}">
  <dimension ref="A1:D71"/>
  <sheetViews>
    <sheetView topLeftCell="A29" workbookViewId="0">
      <selection activeCell="A66" sqref="A66:D66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4.7300000000000004</v>
      </c>
      <c r="C2" s="18">
        <v>4.62</v>
      </c>
      <c r="D2" s="18">
        <v>4.6500000000000004</v>
      </c>
    </row>
    <row r="3" spans="1:4" ht="15" customHeight="1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4.1100000000000003</v>
      </c>
      <c r="C4" s="18">
        <v>3.97</v>
      </c>
      <c r="D4" s="18">
        <v>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3.57</v>
      </c>
      <c r="C6" s="18">
        <v>3.43</v>
      </c>
      <c r="D6" s="18">
        <v>3.46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80.099999999999994</v>
      </c>
      <c r="C8" s="20">
        <v>80.98</v>
      </c>
      <c r="D8" s="20">
        <v>80.87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111.9</v>
      </c>
      <c r="D10" s="20">
        <v>111.7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6508</v>
      </c>
      <c r="C12" s="21">
        <v>6804</v>
      </c>
      <c r="D12" s="21">
        <v>6765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22009</v>
      </c>
      <c r="C14" s="24">
        <v>23262</v>
      </c>
      <c r="D14" s="24">
        <v>23025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2297</v>
      </c>
      <c r="C16" s="21">
        <v>2487</v>
      </c>
      <c r="D16" s="21">
        <v>2465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269</v>
      </c>
      <c r="C18" s="18">
        <v>287</v>
      </c>
      <c r="D18" s="18">
        <v>280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161</v>
      </c>
      <c r="D20" s="20">
        <v>158.77000000000001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18" t="s">
        <v>33</v>
      </c>
      <c r="B22" s="19">
        <v>3791</v>
      </c>
      <c r="C22" s="19">
        <v>3933</v>
      </c>
      <c r="D22" s="19">
        <v>3864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47803</v>
      </c>
      <c r="C24" s="24">
        <v>51301</v>
      </c>
      <c r="D24" s="24">
        <v>49559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18" t="s">
        <v>37</v>
      </c>
      <c r="B26" s="19">
        <v>22601</v>
      </c>
      <c r="C26" s="19">
        <v>23845</v>
      </c>
      <c r="D26" s="19">
        <v>23464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20" t="s">
        <v>39</v>
      </c>
      <c r="B28" s="20">
        <v>17.28</v>
      </c>
      <c r="C28" s="20">
        <v>27.18</v>
      </c>
      <c r="D28" s="20">
        <v>18.559999999999999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20" t="s">
        <v>41</v>
      </c>
      <c r="B30" s="20">
        <v>99.32</v>
      </c>
      <c r="C30" s="20">
        <v>100.58</v>
      </c>
      <c r="D30" s="20">
        <v>99.8</v>
      </c>
    </row>
    <row r="31" spans="1:4" x14ac:dyDescent="0.25">
      <c r="A31" s="4" t="s">
        <v>42</v>
      </c>
      <c r="B31" s="4"/>
      <c r="C31" s="4"/>
      <c r="D31" s="4"/>
    </row>
    <row r="32" spans="1:4" x14ac:dyDescent="0.25">
      <c r="A32" s="18" t="s">
        <v>43</v>
      </c>
      <c r="B32" s="18">
        <v>1.1479999999999999</v>
      </c>
      <c r="C32" s="18">
        <v>1.161</v>
      </c>
      <c r="D32" s="18">
        <v>1.1579999999999999</v>
      </c>
    </row>
    <row r="33" spans="1:4" x14ac:dyDescent="0.25">
      <c r="A33" s="4" t="s">
        <v>44</v>
      </c>
      <c r="B33" s="4"/>
      <c r="C33" s="4"/>
      <c r="D33" s="4"/>
    </row>
    <row r="34" spans="1:4" x14ac:dyDescent="0.25">
      <c r="A34" s="20" t="s">
        <v>45</v>
      </c>
      <c r="B34" s="20">
        <v>154.65</v>
      </c>
      <c r="C34" s="20">
        <v>157.97999999999999</v>
      </c>
      <c r="D34" s="20">
        <v>156.51</v>
      </c>
    </row>
    <row r="35" spans="1:4" x14ac:dyDescent="0.25">
      <c r="A35" s="4" t="s">
        <v>46</v>
      </c>
      <c r="B35" s="4"/>
      <c r="C35" s="4"/>
      <c r="D35" s="4"/>
    </row>
    <row r="36" spans="1:4" x14ac:dyDescent="0.25">
      <c r="A36" s="18" t="s">
        <v>47</v>
      </c>
      <c r="B36" s="18">
        <v>1.3029999999999999</v>
      </c>
      <c r="C36" s="18">
        <v>1.3220000000000001</v>
      </c>
      <c r="D36" s="18">
        <v>1.3169999999999999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18" t="s">
        <v>49</v>
      </c>
      <c r="B38" s="18">
        <v>0.70499999999999996</v>
      </c>
      <c r="C38" s="18">
        <v>0.71699999999999997</v>
      </c>
      <c r="D38" s="18">
        <v>0.70899999999999996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57.03</v>
      </c>
      <c r="C40" s="18">
        <v>59.73</v>
      </c>
      <c r="D40" s="18">
        <v>58.11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61.01</v>
      </c>
      <c r="C42" s="18">
        <v>64</v>
      </c>
      <c r="D42" s="18">
        <v>62.64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4.3</v>
      </c>
      <c r="C44" s="20">
        <v>4.71</v>
      </c>
      <c r="D44" s="20">
        <v>4.47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4025</v>
      </c>
      <c r="C46" s="21">
        <v>4193</v>
      </c>
      <c r="D46" s="21">
        <v>4153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0">
        <v>4.93</v>
      </c>
      <c r="C48" s="20">
        <v>5.17</v>
      </c>
      <c r="D48" s="20">
        <v>5.0199999999999996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49.8</v>
      </c>
      <c r="C50" s="20">
        <v>53.2</v>
      </c>
      <c r="D50" s="20">
        <v>51.48</v>
      </c>
    </row>
    <row r="51" spans="1:4" x14ac:dyDescent="0.25">
      <c r="A51" s="4" t="s">
        <v>62</v>
      </c>
      <c r="B51" s="4"/>
      <c r="C51" s="4"/>
      <c r="D51" s="4"/>
    </row>
    <row r="52" spans="1:4" x14ac:dyDescent="0.25">
      <c r="A52" s="18" t="s">
        <v>63</v>
      </c>
      <c r="B52" s="18">
        <v>460</v>
      </c>
      <c r="C52" s="18">
        <v>490</v>
      </c>
      <c r="D52" s="18">
        <v>477</v>
      </c>
    </row>
    <row r="53" spans="1:4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268</v>
      </c>
      <c r="C54" s="20">
        <v>281</v>
      </c>
      <c r="D54" s="20">
        <v>277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18" t="s">
        <v>67</v>
      </c>
      <c r="B56" s="18">
        <v>212</v>
      </c>
      <c r="C56" s="18">
        <v>235</v>
      </c>
      <c r="D56" s="18">
        <v>230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575</v>
      </c>
      <c r="C58" s="18">
        <v>646</v>
      </c>
      <c r="D58" s="18">
        <v>636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296</v>
      </c>
      <c r="C60" s="20">
        <v>328</v>
      </c>
      <c r="D60" s="20">
        <v>323</v>
      </c>
    </row>
    <row r="61" spans="1:4" x14ac:dyDescent="0.25">
      <c r="A61" s="4" t="s">
        <v>72</v>
      </c>
      <c r="B61" s="4"/>
      <c r="C61" s="4"/>
      <c r="D61" s="4"/>
    </row>
    <row r="62" spans="1:4" x14ac:dyDescent="0.25">
      <c r="A62" s="18" t="s">
        <v>73</v>
      </c>
      <c r="B62" s="18">
        <v>100</v>
      </c>
      <c r="C62" s="18">
        <v>109</v>
      </c>
      <c r="D62" s="18">
        <v>104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18" t="s">
        <v>75</v>
      </c>
      <c r="B64" s="18">
        <v>384</v>
      </c>
      <c r="C64" s="18">
        <v>428</v>
      </c>
      <c r="D64" s="18">
        <v>419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5" t="s">
        <v>88</v>
      </c>
      <c r="B66" s="25">
        <v>173</v>
      </c>
      <c r="C66" s="25">
        <v>188</v>
      </c>
      <c r="D66" s="25">
        <v>178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188</v>
      </c>
      <c r="C68" s="18">
        <v>219</v>
      </c>
      <c r="D68" s="18">
        <v>197.03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81994</v>
      </c>
      <c r="C70" s="19">
        <v>92108</v>
      </c>
      <c r="D70" s="19">
        <v>86665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7ADB-A961-4C95-90B6-95CFE344ABF9}">
  <dimension ref="A1:D71"/>
  <sheetViews>
    <sheetView topLeftCell="A35" workbookViewId="0">
      <selection activeCell="A64" sqref="A64:D64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4.72</v>
      </c>
      <c r="C2" s="18">
        <v>4.5999999999999996</v>
      </c>
      <c r="D2" s="18">
        <v>4.6399999999999997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4.09</v>
      </c>
      <c r="C4" s="18">
        <v>3.95</v>
      </c>
      <c r="D4" s="18">
        <v>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3.55</v>
      </c>
      <c r="C6" s="18">
        <v>3.43</v>
      </c>
      <c r="D6" s="18">
        <v>3.48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80.31</v>
      </c>
      <c r="C8" s="20">
        <v>81.099999999999994</v>
      </c>
      <c r="D8" s="20">
        <v>80.95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110.6</v>
      </c>
      <c r="C10" s="20">
        <v>112.4</v>
      </c>
      <c r="D10" s="20">
        <v>112.1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6503</v>
      </c>
      <c r="C12" s="21">
        <v>6851</v>
      </c>
      <c r="D12" s="21">
        <v>6812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21967</v>
      </c>
      <c r="C14" s="24">
        <v>23498</v>
      </c>
      <c r="D14" s="24">
        <v>23214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2307</v>
      </c>
      <c r="C16" s="21">
        <v>2506</v>
      </c>
      <c r="D16" s="21">
        <v>2486</v>
      </c>
    </row>
    <row r="17" spans="1:4" ht="15.75" thickBot="1" x14ac:dyDescent="0.3">
      <c r="A17" s="4" t="s">
        <v>28</v>
      </c>
      <c r="B17" s="4"/>
      <c r="C17" s="4"/>
      <c r="D17" s="4"/>
    </row>
    <row r="18" spans="1:4" ht="16.5" thickTop="1" thickBot="1" x14ac:dyDescent="0.3">
      <c r="A18" s="3" t="s">
        <v>89</v>
      </c>
      <c r="B18" s="3">
        <v>269</v>
      </c>
      <c r="C18" s="3">
        <v>288</v>
      </c>
      <c r="D18" s="3">
        <v>284</v>
      </c>
    </row>
    <row r="19" spans="1:4" ht="15.75" thickTop="1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154</v>
      </c>
      <c r="C20" s="20">
        <v>161</v>
      </c>
      <c r="D20" s="20">
        <v>158.41999999999999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18" t="s">
        <v>33</v>
      </c>
      <c r="B22" s="19">
        <v>3799</v>
      </c>
      <c r="C22" s="19">
        <v>3973</v>
      </c>
      <c r="D22" s="19">
        <v>3888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47882</v>
      </c>
      <c r="C24" s="24">
        <v>51006</v>
      </c>
      <c r="D24" s="24">
        <v>50253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18" t="s">
        <v>37</v>
      </c>
      <c r="B26" s="19">
        <v>22807</v>
      </c>
      <c r="C26" s="19">
        <v>23890</v>
      </c>
      <c r="D26" s="19">
        <v>23767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20" t="s">
        <v>39</v>
      </c>
      <c r="B28" s="20">
        <v>16.04</v>
      </c>
      <c r="C28" s="20">
        <v>27.76</v>
      </c>
      <c r="D28" s="20">
        <v>17.190000000000001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20" t="s">
        <v>41</v>
      </c>
      <c r="B30" s="20">
        <v>99.4</v>
      </c>
      <c r="C30" s="20">
        <v>100.51</v>
      </c>
      <c r="D30" s="20">
        <v>99.69</v>
      </c>
    </row>
    <row r="31" spans="1:4" x14ac:dyDescent="0.25">
      <c r="A31" s="4" t="s">
        <v>42</v>
      </c>
      <c r="B31" s="4"/>
      <c r="C31" s="4"/>
      <c r="D31" s="4"/>
    </row>
    <row r="32" spans="1:4" x14ac:dyDescent="0.25">
      <c r="A32" s="18" t="s">
        <v>43</v>
      </c>
      <c r="B32" s="18">
        <v>1.1479999999999999</v>
      </c>
      <c r="C32" s="18">
        <v>1.161</v>
      </c>
      <c r="D32" s="18">
        <v>1.157</v>
      </c>
    </row>
    <row r="33" spans="1:4" x14ac:dyDescent="0.25">
      <c r="A33" s="4" t="s">
        <v>44</v>
      </c>
      <c r="B33" s="4"/>
      <c r="C33" s="4"/>
      <c r="D33" s="4"/>
    </row>
    <row r="34" spans="1:4" x14ac:dyDescent="0.25">
      <c r="A34" s="20" t="s">
        <v>45</v>
      </c>
      <c r="B34" s="20">
        <v>155.09</v>
      </c>
      <c r="C34" s="20">
        <v>157.91</v>
      </c>
      <c r="D34" s="20">
        <v>156.16</v>
      </c>
    </row>
    <row r="35" spans="1:4" x14ac:dyDescent="0.25">
      <c r="A35" s="4" t="s">
        <v>46</v>
      </c>
      <c r="B35" s="4"/>
      <c r="C35" s="4"/>
      <c r="D35" s="4"/>
    </row>
    <row r="36" spans="1:4" x14ac:dyDescent="0.25">
      <c r="A36" s="18" t="s">
        <v>47</v>
      </c>
      <c r="B36" s="18">
        <v>1.302</v>
      </c>
      <c r="C36" s="18">
        <v>1.3240000000000001</v>
      </c>
      <c r="D36" s="18">
        <v>1.321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18" t="s">
        <v>49</v>
      </c>
      <c r="B38" s="18">
        <v>0.70599999999999996</v>
      </c>
      <c r="C38" s="18">
        <v>0.71599999999999997</v>
      </c>
      <c r="D38" s="18">
        <v>0.71199999999999997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57.14</v>
      </c>
      <c r="C40" s="18">
        <v>59.95</v>
      </c>
      <c r="D40" s="18">
        <v>58.65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61.92</v>
      </c>
      <c r="C42" s="18">
        <v>64.760000000000005</v>
      </c>
      <c r="D42" s="18">
        <v>63.13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4.3499999999999996</v>
      </c>
      <c r="C44" s="20">
        <v>4.7</v>
      </c>
      <c r="D44" s="20">
        <v>4.5599999999999996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4062</v>
      </c>
      <c r="C46" s="21">
        <v>4199</v>
      </c>
      <c r="D46" s="21">
        <v>4174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0">
        <v>4.96</v>
      </c>
      <c r="C48" s="20">
        <v>5.2</v>
      </c>
      <c r="D48" s="20">
        <v>5.12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50.27</v>
      </c>
      <c r="C50" s="20">
        <v>54.2</v>
      </c>
      <c r="D50" s="20">
        <v>53.35</v>
      </c>
    </row>
    <row r="51" spans="1:4" x14ac:dyDescent="0.25">
      <c r="A51" s="4" t="s">
        <v>62</v>
      </c>
      <c r="B51" s="4"/>
      <c r="C51" s="4"/>
      <c r="D51" s="4"/>
    </row>
    <row r="52" spans="1:4" x14ac:dyDescent="0.25">
      <c r="A52" s="18" t="s">
        <v>63</v>
      </c>
      <c r="B52" s="18">
        <v>462</v>
      </c>
      <c r="C52" s="18">
        <v>498</v>
      </c>
      <c r="D52" s="18">
        <v>486</v>
      </c>
    </row>
    <row r="53" spans="1:4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269</v>
      </c>
      <c r="C54" s="20">
        <v>281</v>
      </c>
      <c r="D54" s="20">
        <v>278</v>
      </c>
    </row>
    <row r="55" spans="1:4" ht="15.75" thickBot="1" x14ac:dyDescent="0.3">
      <c r="A55" s="4" t="s">
        <v>66</v>
      </c>
      <c r="B55" s="4"/>
      <c r="C55" s="4"/>
      <c r="D55" s="4"/>
    </row>
    <row r="56" spans="1:4" ht="16.5" thickTop="1" thickBot="1" x14ac:dyDescent="0.3">
      <c r="A56" s="3" t="s">
        <v>90</v>
      </c>
      <c r="B56" s="3">
        <v>214</v>
      </c>
      <c r="C56" s="3">
        <v>236</v>
      </c>
      <c r="D56" s="3">
        <v>229</v>
      </c>
    </row>
    <row r="57" spans="1:4" ht="15.75" thickTop="1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572</v>
      </c>
      <c r="C58" s="18">
        <v>645</v>
      </c>
      <c r="D58" s="18">
        <v>634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299</v>
      </c>
      <c r="C60" s="20">
        <v>333</v>
      </c>
      <c r="D60" s="20">
        <v>320</v>
      </c>
    </row>
    <row r="61" spans="1:4" x14ac:dyDescent="0.25">
      <c r="A61" s="4" t="s">
        <v>72</v>
      </c>
      <c r="B61" s="4"/>
      <c r="C61" s="4"/>
      <c r="D61" s="4"/>
    </row>
    <row r="62" spans="1:4" x14ac:dyDescent="0.25">
      <c r="A62" s="18" t="s">
        <v>73</v>
      </c>
      <c r="B62" s="18">
        <v>100</v>
      </c>
      <c r="C62" s="18">
        <v>110</v>
      </c>
      <c r="D62" s="18">
        <v>106</v>
      </c>
    </row>
    <row r="63" spans="1:4" ht="15.75" thickBot="1" x14ac:dyDescent="0.3">
      <c r="A63" s="4" t="s">
        <v>74</v>
      </c>
      <c r="B63" s="4"/>
      <c r="C63" s="4"/>
      <c r="D63" s="4"/>
    </row>
    <row r="64" spans="1:4" ht="16.5" thickTop="1" thickBot="1" x14ac:dyDescent="0.3">
      <c r="A64" s="3" t="s">
        <v>91</v>
      </c>
      <c r="B64" s="3">
        <v>391</v>
      </c>
      <c r="C64" s="3">
        <v>432</v>
      </c>
      <c r="D64" s="3">
        <v>427</v>
      </c>
    </row>
    <row r="65" spans="1:4" ht="16.5" thickTop="1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3" t="s">
        <v>88</v>
      </c>
      <c r="B66" s="3">
        <v>172</v>
      </c>
      <c r="C66" s="3">
        <v>187</v>
      </c>
      <c r="D66" s="3">
        <v>180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188</v>
      </c>
      <c r="C68" s="18">
        <v>222</v>
      </c>
      <c r="D68" s="18">
        <v>204.96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83102</v>
      </c>
      <c r="C70" s="19">
        <v>92993</v>
      </c>
      <c r="D70" s="19">
        <v>91642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6752-4082-4F97-BE88-7EE6931F9D35}">
  <dimension ref="A1:D71"/>
  <sheetViews>
    <sheetView topLeftCell="A35" workbookViewId="0">
      <selection activeCell="A66" sqref="A66:D66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4.74</v>
      </c>
      <c r="C2" s="18">
        <v>4.5999999999999996</v>
      </c>
      <c r="D2" s="18">
        <v>4.67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4.13</v>
      </c>
      <c r="C4" s="18">
        <v>3.95</v>
      </c>
      <c r="D4" s="18">
        <v>4.0199999999999996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3.43</v>
      </c>
      <c r="D6" s="18">
        <v>3.5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80.45</v>
      </c>
      <c r="C8" s="20">
        <v>81.22</v>
      </c>
      <c r="D8" s="20">
        <v>80.989999999999995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112.5</v>
      </c>
      <c r="D10" s="20">
        <v>111.9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6538</v>
      </c>
      <c r="C12" s="21">
        <v>6876</v>
      </c>
      <c r="D12" s="21">
        <v>6849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21924</v>
      </c>
      <c r="C14" s="24">
        <v>23540</v>
      </c>
      <c r="D14" s="24">
        <v>23365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2310</v>
      </c>
      <c r="C16" s="21">
        <v>2518</v>
      </c>
      <c r="D16" s="21">
        <v>2500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271</v>
      </c>
      <c r="C18" s="20">
        <v>290</v>
      </c>
      <c r="D18" s="20">
        <v>286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161</v>
      </c>
      <c r="D20" s="20">
        <v>157.65</v>
      </c>
    </row>
    <row r="21" spans="1:4" ht="15.75" thickBot="1" x14ac:dyDescent="0.3">
      <c r="A21" s="4" t="s">
        <v>32</v>
      </c>
      <c r="B21" s="4"/>
      <c r="C21" s="4"/>
      <c r="D21" s="4"/>
    </row>
    <row r="22" spans="1:4" ht="16.5" thickTop="1" thickBot="1" x14ac:dyDescent="0.3">
      <c r="A22" s="3" t="s">
        <v>93</v>
      </c>
      <c r="B22" s="22">
        <v>3821</v>
      </c>
      <c r="C22" s="22">
        <v>3965</v>
      </c>
      <c r="D22" s="22">
        <v>3914</v>
      </c>
    </row>
    <row r="23" spans="1:4" ht="16.5" thickTop="1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3" t="s">
        <v>35</v>
      </c>
      <c r="B24" s="22">
        <v>47950</v>
      </c>
      <c r="C24" s="22">
        <v>50849</v>
      </c>
      <c r="D24" s="22">
        <v>49303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18" t="s">
        <v>37</v>
      </c>
      <c r="B26" s="19">
        <v>22859</v>
      </c>
      <c r="C26" s="19">
        <v>23849</v>
      </c>
      <c r="D26" s="19">
        <v>23836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8">
        <v>15.29</v>
      </c>
      <c r="C28" s="18">
        <v>26.42</v>
      </c>
      <c r="D28" s="18">
        <v>16.350000000000001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20" t="s">
        <v>41</v>
      </c>
      <c r="B30" s="20">
        <v>99.02</v>
      </c>
      <c r="C30" s="20">
        <v>100.5</v>
      </c>
      <c r="D30" s="20">
        <v>99.13</v>
      </c>
    </row>
    <row r="31" spans="1:4" x14ac:dyDescent="0.25">
      <c r="A31" s="4" t="s">
        <v>42</v>
      </c>
      <c r="B31" s="4"/>
      <c r="C31" s="4"/>
      <c r="D31" s="4"/>
    </row>
    <row r="32" spans="1:4" x14ac:dyDescent="0.25">
      <c r="A32" s="18" t="s">
        <v>43</v>
      </c>
      <c r="B32" s="18">
        <v>1.149</v>
      </c>
      <c r="C32" s="18">
        <v>1.1639999999999999</v>
      </c>
      <c r="D32" s="18">
        <v>1.1639999999999999</v>
      </c>
    </row>
    <row r="33" spans="1:4" x14ac:dyDescent="0.25">
      <c r="A33" s="4" t="s">
        <v>44</v>
      </c>
      <c r="B33" s="4"/>
      <c r="C33" s="4"/>
      <c r="D33" s="4"/>
    </row>
    <row r="34" spans="1:4" x14ac:dyDescent="0.25">
      <c r="A34" s="20" t="s">
        <v>45</v>
      </c>
      <c r="B34" s="20">
        <v>154.66999999999999</v>
      </c>
      <c r="C34" s="20">
        <v>157.63</v>
      </c>
      <c r="D34" s="20">
        <v>154.96</v>
      </c>
    </row>
    <row r="35" spans="1:4" x14ac:dyDescent="0.25">
      <c r="A35" s="4" t="s">
        <v>46</v>
      </c>
      <c r="B35" s="4"/>
      <c r="C35" s="4"/>
      <c r="D35" s="4"/>
    </row>
    <row r="36" spans="1:4" x14ac:dyDescent="0.25">
      <c r="A36" s="18" t="s">
        <v>47</v>
      </c>
      <c r="B36" s="18">
        <v>1.304</v>
      </c>
      <c r="C36" s="18">
        <v>1.329</v>
      </c>
      <c r="D36" s="18">
        <v>1.325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18" t="s">
        <v>49</v>
      </c>
      <c r="B38" s="18">
        <v>0.70699999999999996</v>
      </c>
      <c r="C38" s="18">
        <v>0.71599999999999997</v>
      </c>
      <c r="D38" s="18">
        <v>0.71599999999999997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57.96</v>
      </c>
      <c r="C40" s="18">
        <v>60.74</v>
      </c>
      <c r="D40" s="18">
        <v>59.44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62.48</v>
      </c>
      <c r="C42" s="18">
        <v>64.930000000000007</v>
      </c>
      <c r="D42" s="18">
        <v>63.19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4.37</v>
      </c>
      <c r="C44" s="20">
        <v>4.8600000000000003</v>
      </c>
      <c r="D44" s="20">
        <v>4.7699999999999996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4076</v>
      </c>
      <c r="C46" s="21">
        <v>4294</v>
      </c>
      <c r="D46" s="21">
        <v>4254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0">
        <v>5.01</v>
      </c>
      <c r="C48" s="20">
        <v>5.32</v>
      </c>
      <c r="D48" s="20">
        <v>5.19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51.52</v>
      </c>
      <c r="C50" s="20">
        <v>58.08</v>
      </c>
      <c r="D50" s="20">
        <v>56.37</v>
      </c>
    </row>
    <row r="51" spans="1:4" x14ac:dyDescent="0.25">
      <c r="A51" s="4" t="s">
        <v>62</v>
      </c>
      <c r="B51" s="4"/>
      <c r="C51" s="4"/>
      <c r="D51" s="4"/>
    </row>
    <row r="52" spans="1:4" x14ac:dyDescent="0.25">
      <c r="A52" s="18" t="s">
        <v>63</v>
      </c>
      <c r="B52" s="18">
        <v>466</v>
      </c>
      <c r="C52" s="18">
        <v>499</v>
      </c>
      <c r="D52" s="18">
        <v>492</v>
      </c>
    </row>
    <row r="53" spans="1:4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270</v>
      </c>
      <c r="C54" s="20">
        <v>283</v>
      </c>
      <c r="D54" s="20">
        <v>279</v>
      </c>
    </row>
    <row r="55" spans="1:4" ht="15.75" thickBot="1" x14ac:dyDescent="0.3">
      <c r="A55" s="4" t="s">
        <v>66</v>
      </c>
      <c r="B55" s="4"/>
      <c r="C55" s="4"/>
      <c r="D55" s="4"/>
    </row>
    <row r="56" spans="1:4" ht="16.5" thickTop="1" thickBot="1" x14ac:dyDescent="0.3">
      <c r="A56" s="3" t="s">
        <v>90</v>
      </c>
      <c r="B56" s="3">
        <v>216</v>
      </c>
      <c r="C56" s="3">
        <v>237</v>
      </c>
      <c r="D56" s="3">
        <v>233</v>
      </c>
    </row>
    <row r="57" spans="1:4" ht="15.75" thickTop="1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566</v>
      </c>
      <c r="C58" s="18">
        <v>655</v>
      </c>
      <c r="D58" s="18">
        <v>648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301</v>
      </c>
      <c r="C60" s="20">
        <v>337</v>
      </c>
      <c r="D60" s="20">
        <v>320</v>
      </c>
    </row>
    <row r="61" spans="1:4" x14ac:dyDescent="0.25">
      <c r="A61" s="4" t="s">
        <v>72</v>
      </c>
      <c r="B61" s="4"/>
      <c r="C61" s="4"/>
      <c r="D61" s="4"/>
    </row>
    <row r="62" spans="1:4" x14ac:dyDescent="0.25">
      <c r="A62" s="18" t="s">
        <v>73</v>
      </c>
      <c r="B62" s="18">
        <v>101</v>
      </c>
      <c r="C62" s="18">
        <v>111</v>
      </c>
      <c r="D62" s="18">
        <v>108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20" t="s">
        <v>95</v>
      </c>
      <c r="B64" s="20">
        <v>392</v>
      </c>
      <c r="C64" s="20">
        <v>440</v>
      </c>
      <c r="D64" s="20">
        <v>430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5" t="s">
        <v>88</v>
      </c>
      <c r="B66" s="25">
        <v>172</v>
      </c>
      <c r="C66" s="25">
        <v>185</v>
      </c>
      <c r="D66" s="25">
        <v>177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186</v>
      </c>
      <c r="C68" s="18">
        <v>220</v>
      </c>
      <c r="D68" s="18">
        <v>201.95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84495</v>
      </c>
      <c r="C70" s="19">
        <v>91860</v>
      </c>
      <c r="D70" s="19">
        <v>85723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31DF-4EA4-42F6-BBBC-44087AB419FC}">
  <dimension ref="A1:D73"/>
  <sheetViews>
    <sheetView topLeftCell="A38" workbookViewId="0">
      <selection activeCell="A61" sqref="A61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4.79</v>
      </c>
      <c r="C2" s="18">
        <v>4.6100000000000003</v>
      </c>
      <c r="D2" s="18">
        <v>4.74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4.13</v>
      </c>
      <c r="C4" s="18">
        <v>3.95</v>
      </c>
      <c r="D4" s="18">
        <v>4.09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3.43</v>
      </c>
      <c r="D6" s="18">
        <v>3.55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80.45</v>
      </c>
      <c r="C8" s="20">
        <v>81.22</v>
      </c>
      <c r="D8" s="20">
        <v>80.47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112</v>
      </c>
      <c r="D10" s="20">
        <v>110.9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6609</v>
      </c>
      <c r="C12" s="21">
        <v>6850</v>
      </c>
      <c r="D12" s="21">
        <v>6812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22317</v>
      </c>
      <c r="C14" s="24">
        <v>23566</v>
      </c>
      <c r="D14" s="24">
        <v>23275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2313</v>
      </c>
      <c r="C16" s="21">
        <v>2509</v>
      </c>
      <c r="D16" s="21">
        <v>2469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271</v>
      </c>
      <c r="C18" s="20">
        <v>291</v>
      </c>
      <c r="D18" s="20">
        <v>286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152</v>
      </c>
      <c r="C20" s="20">
        <v>161</v>
      </c>
      <c r="D20" s="20">
        <v>155.29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18" t="s">
        <v>33</v>
      </c>
      <c r="B22" s="19">
        <v>3801</v>
      </c>
      <c r="C22" s="19">
        <v>3924</v>
      </c>
      <c r="D22" s="19">
        <v>3897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47892</v>
      </c>
      <c r="C24" s="24">
        <v>50583</v>
      </c>
      <c r="D24" s="24">
        <v>49303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18" t="s">
        <v>37</v>
      </c>
      <c r="B26" s="19">
        <v>22912</v>
      </c>
      <c r="C26" s="19">
        <v>23844</v>
      </c>
      <c r="D26" s="19">
        <v>23589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20" t="s">
        <v>96</v>
      </c>
      <c r="B28" s="21">
        <v>84506</v>
      </c>
      <c r="C28" s="21">
        <v>86333</v>
      </c>
      <c r="D28" s="21">
        <v>85138</v>
      </c>
    </row>
    <row r="29" spans="1:4" x14ac:dyDescent="0.25">
      <c r="A29" s="4" t="s">
        <v>97</v>
      </c>
      <c r="B29" s="4"/>
      <c r="C29" s="4"/>
      <c r="D29" s="4"/>
    </row>
    <row r="30" spans="1:4" x14ac:dyDescent="0.25">
      <c r="A30" s="18" t="s">
        <v>94</v>
      </c>
      <c r="B30" s="18">
        <v>15.79</v>
      </c>
      <c r="C30" s="18">
        <v>26.43</v>
      </c>
      <c r="D30" s="18">
        <v>17.239999999999998</v>
      </c>
    </row>
    <row r="31" spans="1:4" x14ac:dyDescent="0.25">
      <c r="A31" s="4" t="s">
        <v>40</v>
      </c>
      <c r="B31" s="4"/>
      <c r="C31" s="4"/>
      <c r="D31" s="4"/>
    </row>
    <row r="32" spans="1:4" x14ac:dyDescent="0.25">
      <c r="A32" s="20" t="s">
        <v>41</v>
      </c>
      <c r="B32" s="20">
        <v>99.16</v>
      </c>
      <c r="C32" s="20">
        <v>100.39</v>
      </c>
      <c r="D32" s="20">
        <v>99.45</v>
      </c>
    </row>
    <row r="33" spans="1:4" ht="15.75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3" t="s">
        <v>98</v>
      </c>
      <c r="B34" s="3">
        <v>1.151</v>
      </c>
      <c r="C34" s="3">
        <v>1.163</v>
      </c>
      <c r="D34" s="3">
        <v>1.161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155.03</v>
      </c>
      <c r="C36" s="20">
        <v>157.63999999999999</v>
      </c>
      <c r="D36" s="20">
        <v>155.97999999999999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1.304</v>
      </c>
      <c r="C38" s="18">
        <v>1.33</v>
      </c>
      <c r="D38" s="18">
        <v>1.321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18" t="s">
        <v>49</v>
      </c>
      <c r="B40" s="18">
        <v>0.70599999999999996</v>
      </c>
      <c r="C40" s="18">
        <v>0.71599999999999997</v>
      </c>
      <c r="D40" s="18">
        <v>0.71299999999999997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57.96</v>
      </c>
      <c r="C42" s="18">
        <v>60.57</v>
      </c>
      <c r="D42" s="18">
        <v>59.51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61.89</v>
      </c>
      <c r="C44" s="18">
        <v>64.88</v>
      </c>
      <c r="D44" s="18">
        <v>63.31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4.37</v>
      </c>
      <c r="C46" s="21">
        <v>4.9400000000000004</v>
      </c>
      <c r="D46" s="21">
        <v>4.9000000000000004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4086</v>
      </c>
      <c r="C48" s="21">
        <v>4263</v>
      </c>
      <c r="D48" s="21">
        <v>4203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5.0199999999999996</v>
      </c>
      <c r="C50" s="20">
        <v>5.29</v>
      </c>
      <c r="D50" s="20">
        <v>5.17</v>
      </c>
    </row>
    <row r="51" spans="1:4" x14ac:dyDescent="0.25">
      <c r="A51" s="4" t="s">
        <v>60</v>
      </c>
      <c r="B51" s="4"/>
      <c r="C51" s="4"/>
      <c r="D51" s="4"/>
    </row>
    <row r="52" spans="1:4" x14ac:dyDescent="0.25">
      <c r="A52" s="20" t="s">
        <v>61</v>
      </c>
      <c r="B52" s="20">
        <v>52.18</v>
      </c>
      <c r="C52" s="20">
        <v>58.01</v>
      </c>
      <c r="D52" s="20">
        <v>57.97</v>
      </c>
    </row>
    <row r="53" spans="1:4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466</v>
      </c>
      <c r="C54" s="18">
        <v>497</v>
      </c>
      <c r="D54" s="18">
        <v>487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275</v>
      </c>
      <c r="C56" s="20">
        <v>286</v>
      </c>
      <c r="D56" s="20">
        <v>283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217</v>
      </c>
      <c r="C58" s="20">
        <v>238</v>
      </c>
      <c r="D58" s="20">
        <v>234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568</v>
      </c>
      <c r="C60" s="18">
        <v>657</v>
      </c>
      <c r="D60" s="18">
        <v>641</v>
      </c>
    </row>
    <row r="61" spans="1:4" x14ac:dyDescent="0.25">
      <c r="A61" s="4" t="s">
        <v>70</v>
      </c>
      <c r="B61" s="4"/>
      <c r="C61" s="4"/>
      <c r="D61" s="4"/>
    </row>
    <row r="62" spans="1:4" x14ac:dyDescent="0.25">
      <c r="A62" s="20" t="s">
        <v>71</v>
      </c>
      <c r="B62" s="20">
        <v>304</v>
      </c>
      <c r="C62" s="20">
        <v>336</v>
      </c>
      <c r="D62" s="20">
        <v>315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100</v>
      </c>
      <c r="C64" s="18">
        <v>112</v>
      </c>
      <c r="D64" s="18">
        <v>109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391</v>
      </c>
      <c r="C66" s="23">
        <v>444</v>
      </c>
      <c r="D66" s="23">
        <v>430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173</v>
      </c>
      <c r="C68" s="18">
        <v>186</v>
      </c>
      <c r="D68" s="18">
        <v>180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185</v>
      </c>
      <c r="C70" s="19">
        <v>210</v>
      </c>
      <c r="D70" s="19">
        <v>200.94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85011</v>
      </c>
      <c r="C72" s="19">
        <v>92988</v>
      </c>
      <c r="D72" s="19">
        <v>87455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E53B-267C-43F6-83EC-31EC43F9C7B8}">
  <dimension ref="A1:D73"/>
  <sheetViews>
    <sheetView topLeftCell="A44" workbookViewId="0">
      <selection activeCell="A47" sqref="A47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4.78</v>
      </c>
      <c r="C2" s="18">
        <v>4.63</v>
      </c>
      <c r="D2" s="18">
        <v>4.75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4.12</v>
      </c>
      <c r="C4" s="18">
        <v>3.96</v>
      </c>
      <c r="D4" s="18">
        <v>4.09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3.58</v>
      </c>
      <c r="C6" s="18">
        <v>3.43</v>
      </c>
      <c r="D6" s="18">
        <v>3.52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80.12</v>
      </c>
      <c r="C8" s="20">
        <v>81.06</v>
      </c>
      <c r="D8" s="20">
        <v>80.62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112.1</v>
      </c>
      <c r="D10" s="20">
        <v>110.9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6614</v>
      </c>
      <c r="C12" s="21">
        <v>6909</v>
      </c>
      <c r="D12" s="21">
        <v>6829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23396</v>
      </c>
      <c r="C14" s="24">
        <v>23841</v>
      </c>
      <c r="D14" s="24">
        <v>23413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2382</v>
      </c>
      <c r="C16" s="21">
        <v>2523</v>
      </c>
      <c r="D16" s="21">
        <v>2464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274</v>
      </c>
      <c r="C18" s="20">
        <v>295</v>
      </c>
      <c r="D18" s="20">
        <v>289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151</v>
      </c>
      <c r="C20" s="20">
        <v>161</v>
      </c>
      <c r="D20" s="20">
        <v>154.36000000000001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18" t="s">
        <v>33</v>
      </c>
      <c r="B22" s="19">
        <v>3807</v>
      </c>
      <c r="C22" s="19">
        <v>3917</v>
      </c>
      <c r="D22" s="19">
        <v>3878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48501</v>
      </c>
      <c r="C24" s="24">
        <v>50601</v>
      </c>
      <c r="D24" s="24">
        <v>49864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18" t="s">
        <v>37</v>
      </c>
      <c r="B26" s="19">
        <v>23001</v>
      </c>
      <c r="C26" s="19">
        <v>24016</v>
      </c>
      <c r="D26" s="19">
        <v>23710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20" t="s">
        <v>96</v>
      </c>
      <c r="B28" s="21">
        <v>84516</v>
      </c>
      <c r="C28" s="21">
        <v>86339</v>
      </c>
      <c r="D28" s="21">
        <v>85106</v>
      </c>
    </row>
    <row r="29" spans="1:4" x14ac:dyDescent="0.25">
      <c r="A29" s="4" t="s">
        <v>97</v>
      </c>
      <c r="B29" s="4"/>
      <c r="C29" s="4"/>
      <c r="D29" s="4"/>
    </row>
    <row r="30" spans="1:4" x14ac:dyDescent="0.25">
      <c r="A30" s="18" t="s">
        <v>94</v>
      </c>
      <c r="B30" s="18">
        <v>14.61</v>
      </c>
      <c r="C30" s="18">
        <v>25.31</v>
      </c>
      <c r="D30" s="18">
        <v>16.59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3" t="s">
        <v>100</v>
      </c>
      <c r="B32" s="3">
        <v>98.79</v>
      </c>
      <c r="C32" s="3">
        <v>100.35</v>
      </c>
      <c r="D32" s="3">
        <v>98.96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3" t="s">
        <v>98</v>
      </c>
      <c r="B34" s="3">
        <v>1.151</v>
      </c>
      <c r="C34" s="3">
        <v>1.167</v>
      </c>
      <c r="D34" s="3">
        <v>1.167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154.81</v>
      </c>
      <c r="C36" s="20">
        <v>157</v>
      </c>
      <c r="D36" s="20">
        <v>155.41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1.306</v>
      </c>
      <c r="C38" s="18">
        <v>1.33</v>
      </c>
      <c r="D38" s="18">
        <v>1.33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18" t="s">
        <v>49</v>
      </c>
      <c r="B40" s="18">
        <v>0.70899999999999996</v>
      </c>
      <c r="C40" s="18">
        <v>0.71899999999999997</v>
      </c>
      <c r="D40" s="18">
        <v>0.71699999999999997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57.96</v>
      </c>
      <c r="C42" s="18">
        <v>60.5</v>
      </c>
      <c r="D42" s="18">
        <v>58.64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61.91</v>
      </c>
      <c r="C44" s="18">
        <v>64.569999999999993</v>
      </c>
      <c r="D44" s="18">
        <v>62.45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4.38</v>
      </c>
      <c r="C46" s="21">
        <v>4.99</v>
      </c>
      <c r="D46" s="21">
        <v>4.82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4095</v>
      </c>
      <c r="C48" s="21">
        <v>4276</v>
      </c>
      <c r="D48" s="21">
        <v>4211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5.04</v>
      </c>
      <c r="C50" s="20">
        <v>5.4</v>
      </c>
      <c r="D50" s="20">
        <v>5.17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52.88</v>
      </c>
      <c r="C52" s="23">
        <v>59.94</v>
      </c>
      <c r="D52" s="23">
        <v>58.41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467</v>
      </c>
      <c r="C54" s="18">
        <v>498</v>
      </c>
      <c r="D54" s="18">
        <v>490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276</v>
      </c>
      <c r="C56" s="20">
        <v>290</v>
      </c>
      <c r="D56" s="20">
        <v>286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218</v>
      </c>
      <c r="C58" s="20">
        <v>240</v>
      </c>
      <c r="D58" s="20">
        <v>234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588</v>
      </c>
      <c r="C60" s="18">
        <v>670</v>
      </c>
      <c r="D60" s="18">
        <v>647</v>
      </c>
    </row>
    <row r="61" spans="1:4" x14ac:dyDescent="0.25">
      <c r="A61" s="4" t="s">
        <v>70</v>
      </c>
      <c r="B61" s="4"/>
      <c r="C61" s="4"/>
      <c r="D61" s="4"/>
    </row>
    <row r="62" spans="1:4" x14ac:dyDescent="0.25">
      <c r="A62" s="20" t="s">
        <v>71</v>
      </c>
      <c r="B62" s="20">
        <v>306</v>
      </c>
      <c r="C62" s="20">
        <v>336</v>
      </c>
      <c r="D62" s="20">
        <v>316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101</v>
      </c>
      <c r="C64" s="18">
        <v>112</v>
      </c>
      <c r="D64" s="18">
        <v>109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392</v>
      </c>
      <c r="C66" s="23">
        <v>446</v>
      </c>
      <c r="D66" s="23">
        <v>429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174</v>
      </c>
      <c r="C68" s="20">
        <v>187</v>
      </c>
      <c r="D68" s="20">
        <v>181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186</v>
      </c>
      <c r="C70" s="19">
        <v>209</v>
      </c>
      <c r="D70" s="19">
        <v>201.1</v>
      </c>
    </row>
    <row r="71" spans="1:4" ht="15.75" thickBot="1" x14ac:dyDescent="0.3">
      <c r="A71" s="4" t="s">
        <v>80</v>
      </c>
      <c r="B71" s="4"/>
      <c r="C71" s="4"/>
      <c r="D71" s="4"/>
    </row>
    <row r="72" spans="1:4" ht="16.5" thickTop="1" thickBot="1" x14ac:dyDescent="0.3">
      <c r="A72" s="3" t="s">
        <v>102</v>
      </c>
      <c r="B72" s="22">
        <v>86006</v>
      </c>
      <c r="C72" s="22">
        <v>95151</v>
      </c>
      <c r="D72" s="22">
        <v>92820</v>
      </c>
    </row>
    <row r="73" spans="1:4" ht="15.75" thickTop="1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55E8-6612-4FDF-AB0E-972EE9019A33}">
  <dimension ref="A1:D71"/>
  <sheetViews>
    <sheetView topLeftCell="A38" workbookViewId="0">
      <selection activeCell="A68" sqref="A68:D68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4.7699999999999996</v>
      </c>
      <c r="C2" s="18">
        <v>4.6399999999999997</v>
      </c>
      <c r="D2" s="18">
        <v>4.7300000000000004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4.12</v>
      </c>
      <c r="C4" s="18">
        <v>3.96</v>
      </c>
      <c r="D4" s="18">
        <v>4.07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3.57</v>
      </c>
      <c r="C6" s="18">
        <v>3.43</v>
      </c>
      <c r="D6" s="18">
        <v>3.5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80.16</v>
      </c>
      <c r="C8" s="20">
        <v>81.11</v>
      </c>
      <c r="D8" s="20">
        <v>80.69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112</v>
      </c>
      <c r="D10" s="20">
        <v>111.2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6629</v>
      </c>
      <c r="C12" s="21">
        <v>6945</v>
      </c>
      <c r="D12" s="21">
        <v>6849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23411</v>
      </c>
      <c r="C14" s="24">
        <v>23986</v>
      </c>
      <c r="D14" s="24">
        <v>23454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2417</v>
      </c>
      <c r="C16" s="21">
        <v>2559</v>
      </c>
      <c r="D16" s="21">
        <v>2512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278</v>
      </c>
      <c r="C18" s="20">
        <v>296</v>
      </c>
      <c r="D18" s="20">
        <v>290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151</v>
      </c>
      <c r="C20" s="20">
        <v>160</v>
      </c>
      <c r="D20" s="20">
        <v>155.08000000000001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18" t="s">
        <v>33</v>
      </c>
      <c r="B22" s="19">
        <v>3814</v>
      </c>
      <c r="C22" s="19">
        <v>3915</v>
      </c>
      <c r="D22" s="19">
        <v>3875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48409</v>
      </c>
      <c r="C24" s="24">
        <v>51300</v>
      </c>
      <c r="D24" s="24">
        <v>51028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18" t="s">
        <v>37</v>
      </c>
      <c r="B26" s="19">
        <v>23018</v>
      </c>
      <c r="C26" s="19">
        <v>24069</v>
      </c>
      <c r="D26" s="19">
        <v>23693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14.41</v>
      </c>
      <c r="C28" s="19">
        <v>24.98</v>
      </c>
      <c r="D28" s="19">
        <v>16.079999999999998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26" t="s">
        <v>100</v>
      </c>
      <c r="B30" s="26">
        <v>98.57</v>
      </c>
      <c r="C30" s="26">
        <v>100.22</v>
      </c>
      <c r="D30" s="26">
        <v>98.83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1.153</v>
      </c>
      <c r="C32" s="23">
        <v>1.171</v>
      </c>
      <c r="D32" s="23">
        <v>1.167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154.44999999999999</v>
      </c>
      <c r="C34" s="23">
        <v>157.01</v>
      </c>
      <c r="D34" s="23">
        <v>154.66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6" t="s">
        <v>104</v>
      </c>
      <c r="B36" s="26">
        <v>1.31</v>
      </c>
      <c r="C36" s="26">
        <v>1.339</v>
      </c>
      <c r="D36" s="26">
        <v>1.335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6" t="s">
        <v>105</v>
      </c>
      <c r="B38" s="26">
        <v>0.70899999999999996</v>
      </c>
      <c r="C38" s="26">
        <v>0.72</v>
      </c>
      <c r="D38" s="26">
        <v>0.71499999999999997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57.92</v>
      </c>
      <c r="C40" s="18">
        <v>59.85</v>
      </c>
      <c r="D40" s="18">
        <v>59.11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61.99</v>
      </c>
      <c r="C42" s="18">
        <v>64.66</v>
      </c>
      <c r="D42" s="18">
        <v>62.8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4.58</v>
      </c>
      <c r="C44" s="20">
        <v>5.16</v>
      </c>
      <c r="D44" s="20">
        <v>5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4103</v>
      </c>
      <c r="C46" s="21">
        <v>4296</v>
      </c>
      <c r="D46" s="21">
        <v>4191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5.0999999999999996</v>
      </c>
      <c r="C48" s="21">
        <v>5.43</v>
      </c>
      <c r="D48" s="21">
        <v>5.31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53.24</v>
      </c>
      <c r="C50" s="20">
        <v>61.06</v>
      </c>
      <c r="D50" s="20">
        <v>58.46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5" t="s">
        <v>63</v>
      </c>
      <c r="B52" s="25">
        <v>465</v>
      </c>
      <c r="C52" s="25">
        <v>492</v>
      </c>
      <c r="D52" s="25">
        <v>478</v>
      </c>
    </row>
    <row r="53" spans="1:4" ht="15.75" thickTop="1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277</v>
      </c>
      <c r="C54" s="20">
        <v>291</v>
      </c>
      <c r="D54" s="20">
        <v>284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20" t="s">
        <v>99</v>
      </c>
      <c r="B56" s="20">
        <v>218</v>
      </c>
      <c r="C56" s="20">
        <v>241</v>
      </c>
      <c r="D56" s="20">
        <v>232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583</v>
      </c>
      <c r="C58" s="18">
        <v>657</v>
      </c>
      <c r="D58" s="18">
        <v>640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311</v>
      </c>
      <c r="C60" s="20">
        <v>337</v>
      </c>
      <c r="D60" s="20">
        <v>320</v>
      </c>
    </row>
    <row r="61" spans="1:4" x14ac:dyDescent="0.25">
      <c r="A61" s="18" t="s">
        <v>72</v>
      </c>
      <c r="B61" s="18"/>
      <c r="C61" s="18"/>
      <c r="D61" s="18"/>
    </row>
    <row r="62" spans="1:4" x14ac:dyDescent="0.25">
      <c r="A62" s="18" t="s">
        <v>73</v>
      </c>
      <c r="B62" s="18">
        <v>99</v>
      </c>
      <c r="C62" s="18">
        <v>109</v>
      </c>
      <c r="D62" s="18">
        <v>104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20" t="s">
        <v>95</v>
      </c>
      <c r="B64" s="20">
        <v>406</v>
      </c>
      <c r="C64" s="20">
        <v>461</v>
      </c>
      <c r="D64" s="20">
        <v>447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7" t="s">
        <v>77</v>
      </c>
      <c r="B66" s="27">
        <v>175</v>
      </c>
      <c r="C66" s="27">
        <v>185</v>
      </c>
      <c r="D66" s="27">
        <v>180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190</v>
      </c>
      <c r="C68" s="18">
        <v>211</v>
      </c>
      <c r="D68" s="18">
        <v>207.73</v>
      </c>
    </row>
    <row r="69" spans="1:4" x14ac:dyDescent="0.25">
      <c r="A69" s="4" t="s">
        <v>80</v>
      </c>
      <c r="B69" s="4"/>
      <c r="C69" s="4"/>
      <c r="D69" s="4"/>
    </row>
    <row r="70" spans="1:4" ht="15" customHeight="1" x14ac:dyDescent="0.25">
      <c r="A70" s="26" t="s">
        <v>102</v>
      </c>
      <c r="B70" s="28">
        <v>87029</v>
      </c>
      <c r="C70" s="28">
        <v>94834</v>
      </c>
      <c r="D70" s="28">
        <v>92903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225C-A97C-418E-B5FC-3278D4B3146B}">
  <dimension ref="A1:D71"/>
  <sheetViews>
    <sheetView topLeftCell="A41" workbookViewId="0">
      <selection activeCell="A62" sqref="A62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18" t="s">
        <v>13</v>
      </c>
      <c r="B2" s="18">
        <v>4.7699999999999996</v>
      </c>
      <c r="C2" s="18">
        <v>4.6500000000000004</v>
      </c>
      <c r="D2" s="18">
        <v>4.76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4.13</v>
      </c>
      <c r="C4" s="18">
        <v>3.96</v>
      </c>
      <c r="D4" s="18">
        <v>4.0999999999999996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3.56</v>
      </c>
      <c r="C6" s="18">
        <v>3.44</v>
      </c>
      <c r="D6" s="18">
        <v>3.53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80.22</v>
      </c>
      <c r="C8" s="20">
        <v>81.010000000000005</v>
      </c>
      <c r="D8" s="20">
        <v>80.75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111.9</v>
      </c>
      <c r="D10" s="20">
        <v>111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6720</v>
      </c>
      <c r="C12" s="21">
        <v>6956</v>
      </c>
      <c r="D12" s="21">
        <v>6857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22488</v>
      </c>
      <c r="C14" s="24">
        <v>23960</v>
      </c>
      <c r="D14" s="24">
        <v>23505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2444</v>
      </c>
      <c r="C16" s="21">
        <v>2565</v>
      </c>
      <c r="D16" s="21">
        <v>2531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139</v>
      </c>
      <c r="C18" s="20">
        <v>149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151</v>
      </c>
      <c r="C20" s="20">
        <v>160</v>
      </c>
      <c r="D20" s="20">
        <v>153.9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6" t="s">
        <v>93</v>
      </c>
      <c r="B22" s="28">
        <v>3827</v>
      </c>
      <c r="C22" s="28">
        <v>3920</v>
      </c>
      <c r="D22" s="28">
        <v>3902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48512</v>
      </c>
      <c r="C24" s="24">
        <v>51209</v>
      </c>
      <c r="D24" s="24">
        <v>50491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6" t="s">
        <v>106</v>
      </c>
      <c r="B26" s="28">
        <v>23209</v>
      </c>
      <c r="C26" s="28">
        <v>24054</v>
      </c>
      <c r="D26" s="28">
        <v>23882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14.22</v>
      </c>
      <c r="C28" s="19">
        <v>21.72</v>
      </c>
      <c r="D28" s="19">
        <v>15.78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98.68</v>
      </c>
      <c r="C30" s="18">
        <v>99.78</v>
      </c>
      <c r="D30" s="18">
        <v>99.01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1.1539999999999999</v>
      </c>
      <c r="C32" s="23">
        <v>1.17</v>
      </c>
      <c r="D32" s="23">
        <v>1.165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154.56</v>
      </c>
      <c r="C34" s="23">
        <v>156.84</v>
      </c>
      <c r="D34" s="23">
        <v>155.19999999999999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6" t="s">
        <v>104</v>
      </c>
      <c r="B36" s="26">
        <v>1.3120000000000001</v>
      </c>
      <c r="C36" s="26">
        <v>1.339</v>
      </c>
      <c r="D36" s="26">
        <v>1.3340000000000001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6" t="s">
        <v>105</v>
      </c>
      <c r="B38" s="26">
        <v>0.71</v>
      </c>
      <c r="C38" s="26">
        <v>0.72</v>
      </c>
      <c r="D38" s="26">
        <v>0.71699999999999997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57.86</v>
      </c>
      <c r="C40" s="18">
        <v>59.99</v>
      </c>
      <c r="D40" s="18">
        <v>59.7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62.03</v>
      </c>
      <c r="C42" s="18">
        <v>64.05</v>
      </c>
      <c r="D42" s="18">
        <v>63.32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4.6500000000000004</v>
      </c>
      <c r="C44" s="20">
        <v>5.22</v>
      </c>
      <c r="D44" s="20">
        <v>5.09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4110</v>
      </c>
      <c r="C46" s="21">
        <v>4287</v>
      </c>
      <c r="D46" s="21">
        <v>4225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5.12</v>
      </c>
      <c r="C48" s="21">
        <v>5.46</v>
      </c>
      <c r="D48" s="21">
        <v>5.28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54.06</v>
      </c>
      <c r="C50" s="20">
        <v>61.47</v>
      </c>
      <c r="D50" s="20">
        <v>57.06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5" t="s">
        <v>63</v>
      </c>
      <c r="B52" s="25">
        <v>467</v>
      </c>
      <c r="C52" s="25">
        <v>495</v>
      </c>
      <c r="D52" s="25">
        <v>481</v>
      </c>
    </row>
    <row r="53" spans="1:4" ht="15.75" thickTop="1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275</v>
      </c>
      <c r="C54" s="20">
        <v>290</v>
      </c>
      <c r="D54" s="20">
        <v>281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20" t="s">
        <v>99</v>
      </c>
      <c r="B56" s="20">
        <v>220</v>
      </c>
      <c r="C56" s="20">
        <v>240</v>
      </c>
      <c r="D56" s="20">
        <v>229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599</v>
      </c>
      <c r="C58" s="18">
        <v>679</v>
      </c>
      <c r="D58" s="18">
        <v>662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307</v>
      </c>
      <c r="C60" s="20">
        <v>333</v>
      </c>
      <c r="D60" s="20">
        <v>318</v>
      </c>
    </row>
    <row r="61" spans="1:4" x14ac:dyDescent="0.25">
      <c r="A61" s="18" t="s">
        <v>72</v>
      </c>
      <c r="B61" s="18"/>
      <c r="C61" s="18"/>
      <c r="D61" s="18"/>
    </row>
    <row r="62" spans="1:4" x14ac:dyDescent="0.25">
      <c r="A62" s="18" t="s">
        <v>73</v>
      </c>
      <c r="B62" s="18">
        <v>98</v>
      </c>
      <c r="C62" s="18">
        <v>109</v>
      </c>
      <c r="D62" s="18">
        <v>103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20" t="s">
        <v>95</v>
      </c>
      <c r="B64" s="20">
        <v>408</v>
      </c>
      <c r="C64" s="20">
        <v>462</v>
      </c>
      <c r="D64" s="20">
        <v>455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3" t="s">
        <v>101</v>
      </c>
      <c r="B66" s="23">
        <v>176</v>
      </c>
      <c r="C66" s="23">
        <v>186</v>
      </c>
      <c r="D66" s="23">
        <v>183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192</v>
      </c>
      <c r="C68" s="18">
        <v>223</v>
      </c>
      <c r="D68" s="18">
        <v>214.33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26" t="s">
        <v>102</v>
      </c>
      <c r="B70" s="28">
        <v>87206</v>
      </c>
      <c r="C70" s="28">
        <v>94405</v>
      </c>
      <c r="D70" s="28">
        <v>91227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B178-E7E9-4F6A-9081-2672B55822BE}">
  <dimension ref="A1:D71"/>
  <sheetViews>
    <sheetView topLeftCell="A54" workbookViewId="0">
      <selection sqref="A1:D71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4.82</v>
      </c>
      <c r="C2" s="20">
        <v>4.67</v>
      </c>
      <c r="D2" s="20">
        <v>4.79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4.17</v>
      </c>
      <c r="C4" s="18">
        <v>3.96</v>
      </c>
      <c r="D4" s="18">
        <v>4.1399999999999997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3.46</v>
      </c>
      <c r="D6" s="18">
        <v>3.57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80.23</v>
      </c>
      <c r="C8" s="20">
        <v>80.989999999999995</v>
      </c>
      <c r="D8" s="20">
        <v>80.75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111.7</v>
      </c>
      <c r="D10" s="20">
        <v>110.9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6714</v>
      </c>
      <c r="C12" s="21">
        <v>6926</v>
      </c>
      <c r="D12" s="21">
        <v>6870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22905</v>
      </c>
      <c r="C14" s="24">
        <v>23936</v>
      </c>
      <c r="D14" s="24">
        <v>23578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2450</v>
      </c>
      <c r="C16" s="21">
        <v>2563</v>
      </c>
      <c r="D16" s="21">
        <v>2521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139</v>
      </c>
      <c r="C18" s="20">
        <v>149</v>
      </c>
      <c r="D18" s="20">
        <v>147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151</v>
      </c>
      <c r="C20" s="20">
        <v>160</v>
      </c>
      <c r="D20" s="20">
        <v>153.26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6" t="s">
        <v>93</v>
      </c>
      <c r="B22" s="28">
        <v>3838</v>
      </c>
      <c r="C22" s="28">
        <v>3936</v>
      </c>
      <c r="D22" s="28">
        <v>3924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48907</v>
      </c>
      <c r="C24" s="24">
        <v>51308</v>
      </c>
      <c r="D24" s="24">
        <v>50581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6" t="s">
        <v>106</v>
      </c>
      <c r="B26" s="28">
        <v>23331</v>
      </c>
      <c r="C26" s="28">
        <v>24153</v>
      </c>
      <c r="D26" s="28">
        <v>24028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14.18</v>
      </c>
      <c r="C28" s="19">
        <v>20.190000000000001</v>
      </c>
      <c r="D28" s="19">
        <v>15.41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98.58</v>
      </c>
      <c r="C30" s="18">
        <v>99.7</v>
      </c>
      <c r="D30" s="18">
        <v>98.99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1.1579999999999999</v>
      </c>
      <c r="C32" s="23">
        <v>1.17</v>
      </c>
      <c r="D32" s="23">
        <v>1.165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154.62</v>
      </c>
      <c r="C34" s="23">
        <v>156.80000000000001</v>
      </c>
      <c r="D34" s="23">
        <v>155.63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1.3149999999999999</v>
      </c>
      <c r="C36" s="20">
        <v>1.339</v>
      </c>
      <c r="D36" s="20">
        <v>1.3320000000000001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0.71299999999999997</v>
      </c>
      <c r="C38" s="20">
        <v>0.72499999999999998</v>
      </c>
      <c r="D38" s="20">
        <v>0.72399999999999998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57.96</v>
      </c>
      <c r="C40" s="18">
        <v>60.34</v>
      </c>
      <c r="D40" s="18">
        <v>60.14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62.05</v>
      </c>
      <c r="C42" s="18">
        <v>64</v>
      </c>
      <c r="D42" s="18">
        <v>63.76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4.68</v>
      </c>
      <c r="C44" s="20">
        <v>5.39</v>
      </c>
      <c r="D44" s="20">
        <v>5.34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4115</v>
      </c>
      <c r="C46" s="21">
        <v>4267</v>
      </c>
      <c r="D46" s="21">
        <v>4212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5.0999999999999996</v>
      </c>
      <c r="C48" s="21">
        <v>5.45</v>
      </c>
      <c r="D48" s="21">
        <v>5.37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55.67</v>
      </c>
      <c r="C50" s="20">
        <v>61.72</v>
      </c>
      <c r="D50" s="20">
        <v>58.28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5" t="s">
        <v>63</v>
      </c>
      <c r="B52" s="25">
        <v>469</v>
      </c>
      <c r="C52" s="25">
        <v>494</v>
      </c>
      <c r="D52" s="25">
        <v>483</v>
      </c>
    </row>
    <row r="53" spans="1:4" ht="15.75" thickTop="1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273</v>
      </c>
      <c r="C54" s="20">
        <v>288</v>
      </c>
      <c r="D54" s="20">
        <v>279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20" t="s">
        <v>99</v>
      </c>
      <c r="B56" s="20">
        <v>223</v>
      </c>
      <c r="C56" s="20">
        <v>238</v>
      </c>
      <c r="D56" s="20">
        <v>230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608</v>
      </c>
      <c r="C58" s="18">
        <v>680</v>
      </c>
      <c r="D58" s="18">
        <v>673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311</v>
      </c>
      <c r="C60" s="20">
        <v>330</v>
      </c>
      <c r="D60" s="20">
        <v>321</v>
      </c>
    </row>
    <row r="61" spans="1:4" x14ac:dyDescent="0.25">
      <c r="A61" s="18" t="s">
        <v>72</v>
      </c>
      <c r="B61" s="18"/>
      <c r="C61" s="18"/>
      <c r="D61" s="18"/>
    </row>
    <row r="62" spans="1:4" x14ac:dyDescent="0.25">
      <c r="A62" s="18" t="s">
        <v>73</v>
      </c>
      <c r="B62" s="18">
        <v>97</v>
      </c>
      <c r="C62" s="18">
        <v>108</v>
      </c>
      <c r="D62" s="18">
        <v>100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20" t="s">
        <v>95</v>
      </c>
      <c r="B64" s="20">
        <v>419</v>
      </c>
      <c r="C64" s="20">
        <v>463</v>
      </c>
      <c r="D64" s="20">
        <v>455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3" t="s">
        <v>101</v>
      </c>
      <c r="B66" s="23">
        <v>176</v>
      </c>
      <c r="C66" s="23">
        <v>186</v>
      </c>
      <c r="D66" s="23">
        <v>182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188</v>
      </c>
      <c r="C68" s="18">
        <v>224</v>
      </c>
      <c r="D68" s="18">
        <v>217.58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26" t="s">
        <v>102</v>
      </c>
      <c r="B70" s="28">
        <v>86768</v>
      </c>
      <c r="C70" s="28">
        <v>94669</v>
      </c>
      <c r="D70" s="28">
        <v>91801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B0B2-1EF0-4FCC-98D5-F62E388392D9}">
  <dimension ref="A1:D71"/>
  <sheetViews>
    <sheetView topLeftCell="A41" workbookViewId="0">
      <selection activeCell="D71" sqref="A1:D71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4.8499999999999996</v>
      </c>
      <c r="C2" s="20">
        <v>4.71</v>
      </c>
      <c r="D2" s="20">
        <v>4.8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4.18</v>
      </c>
      <c r="C4" s="18">
        <v>3.95</v>
      </c>
      <c r="D4" s="18">
        <v>4.17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3.45</v>
      </c>
      <c r="D6" s="18">
        <v>3.58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80.27</v>
      </c>
      <c r="C8" s="20">
        <v>80.91</v>
      </c>
      <c r="D8" s="20">
        <v>80.55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111.8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6762</v>
      </c>
      <c r="C12" s="21">
        <v>6902</v>
      </c>
      <c r="D12" s="21">
        <v>6846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23140</v>
      </c>
      <c r="C14" s="24">
        <v>23810</v>
      </c>
      <c r="D14" s="24">
        <v>23545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2444</v>
      </c>
      <c r="C16" s="21">
        <v>2532</v>
      </c>
      <c r="D16" s="21">
        <v>2520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141</v>
      </c>
      <c r="C18" s="20">
        <v>152</v>
      </c>
      <c r="D18" s="20">
        <v>148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150</v>
      </c>
      <c r="C20" s="20">
        <v>161</v>
      </c>
      <c r="D20" s="20">
        <v>151.43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6" t="s">
        <v>93</v>
      </c>
      <c r="B22" s="28">
        <v>3840</v>
      </c>
      <c r="C22" s="28">
        <v>3930</v>
      </c>
      <c r="D22" s="28">
        <v>3909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48951</v>
      </c>
      <c r="C24" s="24">
        <v>51202</v>
      </c>
      <c r="D24" s="24">
        <v>50655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6" t="s">
        <v>106</v>
      </c>
      <c r="B26" s="28">
        <v>23498</v>
      </c>
      <c r="C26" s="28">
        <v>24199</v>
      </c>
      <c r="D26" s="28">
        <v>24046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14.71</v>
      </c>
      <c r="C28" s="19">
        <v>18.920000000000002</v>
      </c>
      <c r="D28" s="19">
        <v>16.66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98.6</v>
      </c>
      <c r="C30" s="18">
        <v>99.74</v>
      </c>
      <c r="D30" s="18">
        <v>99.12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1.159</v>
      </c>
      <c r="C32" s="23">
        <v>1.169</v>
      </c>
      <c r="D32" s="23">
        <v>1.1639999999999999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154.72</v>
      </c>
      <c r="C34" s="23">
        <v>156.71</v>
      </c>
      <c r="D34" s="23">
        <v>156.28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1.32</v>
      </c>
      <c r="C36" s="20">
        <v>1.34</v>
      </c>
      <c r="D36" s="20">
        <v>1.3320000000000001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0.71499999999999997</v>
      </c>
      <c r="C38" s="20">
        <v>0.72599999999999998</v>
      </c>
      <c r="D38" s="20">
        <v>0.72199999999999998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57.7</v>
      </c>
      <c r="C40" s="18">
        <v>60.27</v>
      </c>
      <c r="D40" s="18">
        <v>58.85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61.9</v>
      </c>
      <c r="C42" s="18">
        <v>63.95</v>
      </c>
      <c r="D42" s="18">
        <v>62.49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4.5</v>
      </c>
      <c r="C44" s="20">
        <v>5.31</v>
      </c>
      <c r="D44" s="20">
        <v>4.87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4132</v>
      </c>
      <c r="C46" s="21">
        <v>4262</v>
      </c>
      <c r="D46" s="21">
        <v>4202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5.1100000000000003</v>
      </c>
      <c r="C48" s="21">
        <v>5.46</v>
      </c>
      <c r="D48" s="21">
        <v>5.35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54.62</v>
      </c>
      <c r="C50" s="20">
        <v>61.49</v>
      </c>
      <c r="D50" s="20">
        <v>58.09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5" t="s">
        <v>63</v>
      </c>
      <c r="B52" s="25">
        <v>472</v>
      </c>
      <c r="C52" s="25">
        <v>496</v>
      </c>
      <c r="D52" s="25">
        <v>491</v>
      </c>
    </row>
    <row r="53" spans="1:4" ht="15.75" thickTop="1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273</v>
      </c>
      <c r="C54" s="20">
        <v>287</v>
      </c>
      <c r="D54" s="20">
        <v>278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20" t="s">
        <v>99</v>
      </c>
      <c r="B56" s="20">
        <v>224</v>
      </c>
      <c r="C56" s="20">
        <v>237</v>
      </c>
      <c r="D56" s="20">
        <v>227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620</v>
      </c>
      <c r="C58" s="18">
        <v>681</v>
      </c>
      <c r="D58" s="18">
        <v>667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311</v>
      </c>
      <c r="C60" s="20">
        <v>328</v>
      </c>
      <c r="D60" s="20">
        <v>314</v>
      </c>
    </row>
    <row r="61" spans="1:4" x14ac:dyDescent="0.25">
      <c r="A61" s="18" t="s">
        <v>72</v>
      </c>
      <c r="B61" s="18"/>
      <c r="C61" s="18"/>
      <c r="D61" s="18"/>
    </row>
    <row r="62" spans="1:4" x14ac:dyDescent="0.25">
      <c r="A62" s="18" t="s">
        <v>73</v>
      </c>
      <c r="B62" s="18">
        <v>93</v>
      </c>
      <c r="C62" s="18">
        <v>105</v>
      </c>
      <c r="D62" s="18">
        <v>97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20" t="s">
        <v>95</v>
      </c>
      <c r="B64" s="20">
        <v>420</v>
      </c>
      <c r="C64" s="20">
        <v>463</v>
      </c>
      <c r="D64" s="20">
        <v>440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3" t="s">
        <v>101</v>
      </c>
      <c r="B66" s="23">
        <v>179</v>
      </c>
      <c r="C66" s="23">
        <v>194</v>
      </c>
      <c r="D66" s="23">
        <v>186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187</v>
      </c>
      <c r="C68" s="18">
        <v>229</v>
      </c>
      <c r="D68" s="18">
        <v>220.54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26" t="s">
        <v>102</v>
      </c>
      <c r="B70" s="28">
        <v>86447</v>
      </c>
      <c r="C70" s="28">
        <v>94238</v>
      </c>
      <c r="D70" s="28">
        <v>90606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3C8A-FE35-44E4-B192-C35A6BF5A40A}">
  <dimension ref="A1:D71"/>
  <sheetViews>
    <sheetView topLeftCell="A47" workbookViewId="0">
      <selection activeCell="A70" sqref="A70:D71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4.8600000000000003</v>
      </c>
      <c r="C2" s="20">
        <v>4.72</v>
      </c>
      <c r="D2" s="20">
        <v>4.8099999999999996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4.22</v>
      </c>
      <c r="C4" s="18">
        <v>3.99</v>
      </c>
      <c r="D4" s="18">
        <v>4.1900000000000004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3.65</v>
      </c>
      <c r="C6" s="18">
        <v>3.45</v>
      </c>
      <c r="D6" s="18">
        <v>3.62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80.290000000000006</v>
      </c>
      <c r="C8" s="20">
        <v>80.91</v>
      </c>
      <c r="D8" s="20">
        <v>80.459999999999994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111.6</v>
      </c>
      <c r="D10" s="20">
        <v>110.5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6787</v>
      </c>
      <c r="C12" s="21">
        <v>6897</v>
      </c>
      <c r="D12" s="21">
        <v>6840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23103</v>
      </c>
      <c r="C14" s="24">
        <v>23883</v>
      </c>
      <c r="D14" s="24">
        <v>23576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2470</v>
      </c>
      <c r="C16" s="21">
        <v>2559</v>
      </c>
      <c r="D16" s="21">
        <v>2526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152</v>
      </c>
      <c r="D18" s="20">
        <v>148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149</v>
      </c>
      <c r="C20" s="20">
        <v>160</v>
      </c>
      <c r="D20" s="20">
        <v>150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18" t="s">
        <v>33</v>
      </c>
      <c r="B22" s="19">
        <v>3842</v>
      </c>
      <c r="C22" s="19">
        <v>3925</v>
      </c>
      <c r="D22" s="19">
        <v>3900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49068</v>
      </c>
      <c r="C24" s="24">
        <v>51328</v>
      </c>
      <c r="D24" s="24">
        <v>50602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6" t="s">
        <v>106</v>
      </c>
      <c r="B26" s="28">
        <v>23422</v>
      </c>
      <c r="C26" s="28">
        <v>24204</v>
      </c>
      <c r="D26" s="28">
        <v>24162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15.19</v>
      </c>
      <c r="C28" s="19">
        <v>18.23</v>
      </c>
      <c r="D28" s="19">
        <v>16.93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98.68</v>
      </c>
      <c r="C30" s="18">
        <v>99.61</v>
      </c>
      <c r="D30" s="18">
        <v>99.11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1.159</v>
      </c>
      <c r="C32" s="23">
        <v>1.171</v>
      </c>
      <c r="D32" s="23">
        <v>1.1639999999999999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154.81</v>
      </c>
      <c r="C34" s="23">
        <v>157.13</v>
      </c>
      <c r="D34" s="23">
        <v>156.71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1.3220000000000001</v>
      </c>
      <c r="C36" s="20">
        <v>1.341</v>
      </c>
      <c r="D36" s="20">
        <v>1.331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0.71499999999999997</v>
      </c>
      <c r="C38" s="20">
        <v>0.72599999999999998</v>
      </c>
      <c r="D38" s="20">
        <v>0.72199999999999998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18" t="s">
        <v>51</v>
      </c>
      <c r="B40" s="18">
        <v>57.95</v>
      </c>
      <c r="C40" s="18">
        <v>60.08</v>
      </c>
      <c r="D40" s="18">
        <v>58.39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18" t="s">
        <v>53</v>
      </c>
      <c r="B42" s="18">
        <v>61.63</v>
      </c>
      <c r="C42" s="18">
        <v>63.75</v>
      </c>
      <c r="D42" s="18">
        <v>62.12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4.4000000000000004</v>
      </c>
      <c r="C44" s="20">
        <v>5.35</v>
      </c>
      <c r="D44" s="20">
        <v>4.58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4157</v>
      </c>
      <c r="C46" s="21">
        <v>4248</v>
      </c>
      <c r="D46" s="21">
        <v>4208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5.13</v>
      </c>
      <c r="C48" s="21">
        <v>5.47</v>
      </c>
      <c r="D48" s="21">
        <v>5.25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57.13</v>
      </c>
      <c r="C50" s="20">
        <v>61.76</v>
      </c>
      <c r="D50" s="20">
        <v>60.52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5" t="s">
        <v>63</v>
      </c>
      <c r="B52" s="25">
        <v>474</v>
      </c>
      <c r="C52" s="25">
        <v>497</v>
      </c>
      <c r="D52" s="25">
        <v>492</v>
      </c>
    </row>
    <row r="53" spans="1:4" ht="15.75" thickTop="1" x14ac:dyDescent="0.25">
      <c r="A53" s="4" t="s">
        <v>64</v>
      </c>
      <c r="B53" s="4"/>
      <c r="C53" s="4"/>
      <c r="D53" s="4"/>
    </row>
    <row r="54" spans="1:4" x14ac:dyDescent="0.25">
      <c r="A54" s="20" t="s">
        <v>65</v>
      </c>
      <c r="B54" s="20">
        <v>274</v>
      </c>
      <c r="C54" s="20">
        <v>288</v>
      </c>
      <c r="D54" s="20">
        <v>277</v>
      </c>
    </row>
    <row r="55" spans="1:4" x14ac:dyDescent="0.25">
      <c r="A55" s="4" t="s">
        <v>66</v>
      </c>
      <c r="B55" s="4"/>
      <c r="C55" s="4"/>
      <c r="D55" s="4"/>
    </row>
    <row r="56" spans="1:4" x14ac:dyDescent="0.25">
      <c r="A56" s="20" t="s">
        <v>99</v>
      </c>
      <c r="B56" s="20">
        <v>224</v>
      </c>
      <c r="C56" s="20">
        <v>236</v>
      </c>
      <c r="D56" s="20">
        <v>228</v>
      </c>
    </row>
    <row r="57" spans="1:4" x14ac:dyDescent="0.25">
      <c r="A57" s="4" t="s">
        <v>68</v>
      </c>
      <c r="B57" s="4"/>
      <c r="C57" s="4"/>
      <c r="D57" s="4"/>
    </row>
    <row r="58" spans="1:4" x14ac:dyDescent="0.25">
      <c r="A58" s="18" t="s">
        <v>69</v>
      </c>
      <c r="B58" s="18">
        <v>623</v>
      </c>
      <c r="C58" s="18">
        <v>679</v>
      </c>
      <c r="D58" s="18">
        <v>657</v>
      </c>
    </row>
    <row r="59" spans="1:4" x14ac:dyDescent="0.25">
      <c r="A59" s="4" t="s">
        <v>70</v>
      </c>
      <c r="B59" s="4"/>
      <c r="C59" s="4"/>
      <c r="D59" s="4"/>
    </row>
    <row r="60" spans="1:4" x14ac:dyDescent="0.25">
      <c r="A60" s="20" t="s">
        <v>71</v>
      </c>
      <c r="B60" s="20">
        <v>310</v>
      </c>
      <c r="C60" s="20">
        <v>326</v>
      </c>
      <c r="D60" s="20">
        <v>317</v>
      </c>
    </row>
    <row r="61" spans="1:4" x14ac:dyDescent="0.25">
      <c r="A61" s="18" t="s">
        <v>72</v>
      </c>
      <c r="B61" s="18"/>
      <c r="C61" s="18"/>
      <c r="D61" s="18"/>
    </row>
    <row r="62" spans="1:4" x14ac:dyDescent="0.25">
      <c r="A62" s="18" t="s">
        <v>73</v>
      </c>
      <c r="B62" s="18">
        <v>93</v>
      </c>
      <c r="C62" s="18">
        <v>103</v>
      </c>
      <c r="D62" s="18">
        <v>97</v>
      </c>
    </row>
    <row r="63" spans="1:4" x14ac:dyDescent="0.25">
      <c r="A63" s="4" t="s">
        <v>74</v>
      </c>
      <c r="B63" s="4"/>
      <c r="C63" s="4"/>
      <c r="D63" s="4"/>
    </row>
    <row r="64" spans="1:4" x14ac:dyDescent="0.25">
      <c r="A64" s="20" t="s">
        <v>95</v>
      </c>
      <c r="B64" s="20">
        <v>425</v>
      </c>
      <c r="C64" s="20">
        <v>462</v>
      </c>
      <c r="D64" s="20">
        <v>445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3" t="s">
        <v>101</v>
      </c>
      <c r="B66" s="23">
        <v>180</v>
      </c>
      <c r="C66" s="23">
        <v>190</v>
      </c>
      <c r="D66" s="23">
        <v>185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188</v>
      </c>
      <c r="C68" s="18">
        <v>231</v>
      </c>
      <c r="D68" s="18">
        <v>222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26" t="s">
        <v>102</v>
      </c>
      <c r="B70" s="28">
        <v>88008</v>
      </c>
      <c r="C70" s="28">
        <v>94286</v>
      </c>
      <c r="D70" s="28">
        <v>92030</v>
      </c>
    </row>
    <row r="71" spans="1:4" x14ac:dyDescent="0.25">
      <c r="A71" s="4" t="s">
        <v>82</v>
      </c>
      <c r="B71" s="4"/>
      <c r="C71" s="4"/>
      <c r="D71" s="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AB3B-C1BE-48B2-A8A6-CED4F760ACA7}">
  <dimension ref="A1:D73"/>
  <sheetViews>
    <sheetView topLeftCell="A36" workbookViewId="0">
      <selection activeCell="B24" sqref="B24"/>
    </sheetView>
  </sheetViews>
  <sheetFormatPr defaultRowHeight="15" x14ac:dyDescent="0.25"/>
  <cols>
    <col min="1" max="1" width="35.570312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4.82</v>
      </c>
      <c r="C2" s="20">
        <v>4.6900000000000004</v>
      </c>
      <c r="D2" s="20">
        <v>4.78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3.99</v>
      </c>
      <c r="D4" s="18">
        <v>4.16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3.46</v>
      </c>
      <c r="D6" s="18">
        <v>3.55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80.31</v>
      </c>
      <c r="C8" s="20">
        <v>80.94</v>
      </c>
      <c r="D8" s="20">
        <v>80.73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111.6</v>
      </c>
      <c r="D10" s="20">
        <v>111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6801</v>
      </c>
      <c r="C12" s="21">
        <v>6918</v>
      </c>
      <c r="D12" s="21">
        <v>6886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23206</v>
      </c>
      <c r="C14" s="24">
        <v>23881</v>
      </c>
      <c r="D14" s="24">
        <v>23654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2481</v>
      </c>
      <c r="C16" s="21">
        <v>2582</v>
      </c>
      <c r="D16" s="21">
        <v>2559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150</v>
      </c>
      <c r="D18" s="20">
        <v>149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149</v>
      </c>
      <c r="C20" s="20">
        <v>157</v>
      </c>
      <c r="D20" s="20">
        <v>152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117</v>
      </c>
      <c r="C22" s="21">
        <v>121</v>
      </c>
      <c r="D22" s="21">
        <v>120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3843</v>
      </c>
      <c r="C24" s="29">
        <v>3923</v>
      </c>
      <c r="D24" s="29">
        <v>3873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49036</v>
      </c>
      <c r="C26" s="21">
        <v>51316</v>
      </c>
      <c r="D26" s="21">
        <v>50148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6" t="s">
        <v>106</v>
      </c>
      <c r="B28" s="28">
        <v>23501</v>
      </c>
      <c r="C28" s="28">
        <v>24296</v>
      </c>
      <c r="D28" s="28">
        <v>24130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14.72</v>
      </c>
      <c r="C30" s="18">
        <v>18.03</v>
      </c>
      <c r="D30" s="18">
        <v>15.77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98.25</v>
      </c>
      <c r="C32" s="25">
        <v>99.26</v>
      </c>
      <c r="D32" s="25">
        <v>98.5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1.161</v>
      </c>
      <c r="C34" s="23">
        <v>1.173</v>
      </c>
      <c r="D34" s="23">
        <v>1.171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154.53</v>
      </c>
      <c r="C36" s="20">
        <v>156.81</v>
      </c>
      <c r="D36" s="20">
        <v>155.54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1.3240000000000001</v>
      </c>
      <c r="C38" s="20">
        <v>1.3440000000000001</v>
      </c>
      <c r="D38" s="20">
        <v>1.339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0.71599999999999997</v>
      </c>
      <c r="C40" s="20">
        <v>0.72899999999999998</v>
      </c>
      <c r="D40" s="20">
        <v>0.72399999999999998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57.02</v>
      </c>
      <c r="C42" s="18">
        <v>60.07</v>
      </c>
      <c r="D42" s="18">
        <v>58.77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61.11</v>
      </c>
      <c r="C44" s="18">
        <v>63.27</v>
      </c>
      <c r="D44" s="18">
        <v>62.21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4.42</v>
      </c>
      <c r="C46" s="21">
        <v>5.32</v>
      </c>
      <c r="D46" s="21">
        <v>4.59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4175</v>
      </c>
      <c r="C48" s="21">
        <v>4254</v>
      </c>
      <c r="D48" s="21">
        <v>4225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5.16</v>
      </c>
      <c r="C50" s="20">
        <v>5.49</v>
      </c>
      <c r="D50" s="20">
        <v>5.33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58.5</v>
      </c>
      <c r="C52" s="23">
        <v>62.49</v>
      </c>
      <c r="D52" s="23">
        <v>61.87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470</v>
      </c>
      <c r="C54" s="18">
        <v>493</v>
      </c>
      <c r="D54" s="18">
        <v>479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274</v>
      </c>
      <c r="C56" s="20">
        <v>288</v>
      </c>
      <c r="D56" s="20">
        <v>279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225</v>
      </c>
      <c r="C58" s="20">
        <v>238</v>
      </c>
      <c r="D58" s="20">
        <v>232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628</v>
      </c>
      <c r="C60" s="18">
        <v>677</v>
      </c>
      <c r="D60" s="18">
        <v>650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311</v>
      </c>
      <c r="C62" s="20">
        <v>326</v>
      </c>
      <c r="D62" s="20">
        <v>320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90</v>
      </c>
      <c r="C64" s="18">
        <v>99</v>
      </c>
      <c r="D64" s="18">
        <v>93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429</v>
      </c>
      <c r="C66" s="23">
        <v>465</v>
      </c>
      <c r="D66" s="23">
        <v>451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177</v>
      </c>
      <c r="C68" s="20">
        <v>189</v>
      </c>
      <c r="D68" s="20">
        <v>184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188</v>
      </c>
      <c r="C70" s="19">
        <v>224</v>
      </c>
      <c r="D70" s="19">
        <v>223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88103</v>
      </c>
      <c r="C72" s="28">
        <v>93997</v>
      </c>
      <c r="D72" s="28">
        <v>90068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7BC8-7A56-4F72-B308-5A0FD6B3E518}">
  <dimension ref="A1:D73"/>
  <sheetViews>
    <sheetView topLeftCell="A28" workbookViewId="0">
      <selection activeCell="E60" sqref="E60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4.84</v>
      </c>
      <c r="C2" s="20">
        <v>4.71</v>
      </c>
      <c r="D2" s="20">
        <v>4.8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4.22</v>
      </c>
      <c r="C4" s="18">
        <v>4.0199999999999996</v>
      </c>
      <c r="D4" s="18">
        <v>4.16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3.46</v>
      </c>
      <c r="D6" s="18">
        <v>3.55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80.34</v>
      </c>
      <c r="C8" s="20">
        <v>80.959999999999994</v>
      </c>
      <c r="D8" s="20">
        <v>80.72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111.4</v>
      </c>
      <c r="D10" s="20">
        <v>110.8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6812</v>
      </c>
      <c r="C12" s="21">
        <v>6937</v>
      </c>
      <c r="D12" s="21">
        <v>6901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23291</v>
      </c>
      <c r="C14" s="24">
        <v>23827</v>
      </c>
      <c r="D14" s="24">
        <v>23593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2482</v>
      </c>
      <c r="C16" s="21">
        <v>2610</v>
      </c>
      <c r="D16" s="21">
        <v>2590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150</v>
      </c>
      <c r="D18" s="20">
        <v>148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149</v>
      </c>
      <c r="C20" s="20">
        <v>157</v>
      </c>
      <c r="D20" s="20">
        <v>154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118</v>
      </c>
      <c r="C22" s="21">
        <v>122</v>
      </c>
      <c r="D22" s="21">
        <v>120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3844</v>
      </c>
      <c r="C24" s="29">
        <v>3923</v>
      </c>
      <c r="D24" s="29">
        <v>3889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49039</v>
      </c>
      <c r="C26" s="21">
        <v>51616</v>
      </c>
      <c r="D26" s="21">
        <v>50836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23602</v>
      </c>
      <c r="C28" s="21">
        <v>24601</v>
      </c>
      <c r="D28" s="21">
        <v>24294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14.49</v>
      </c>
      <c r="C30" s="18">
        <v>17.239999999999998</v>
      </c>
      <c r="D30" s="18">
        <v>14.85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98.18</v>
      </c>
      <c r="C32" s="25">
        <v>99.18</v>
      </c>
      <c r="D32" s="25">
        <v>98.45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1.1619999999999999</v>
      </c>
      <c r="C34" s="23">
        <v>1.1739999999999999</v>
      </c>
      <c r="D34" s="23">
        <v>1.173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154.52000000000001</v>
      </c>
      <c r="C36" s="20">
        <v>156.80000000000001</v>
      </c>
      <c r="D36" s="20">
        <v>156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1.3240000000000001</v>
      </c>
      <c r="C38" s="20">
        <v>1.3440000000000001</v>
      </c>
      <c r="D38" s="20">
        <v>1.3380000000000001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0.71599999999999997</v>
      </c>
      <c r="C40" s="20">
        <v>0.72899999999999998</v>
      </c>
      <c r="D40" s="20">
        <v>0.72599999999999998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57.03</v>
      </c>
      <c r="C42" s="18">
        <v>60.01</v>
      </c>
      <c r="D42" s="18">
        <v>57.92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61.01</v>
      </c>
      <c r="C44" s="18">
        <v>63.21</v>
      </c>
      <c r="D44" s="18">
        <v>61.59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3.95</v>
      </c>
      <c r="C46" s="28">
        <v>4.92</v>
      </c>
      <c r="D46" s="28">
        <v>4.2300000000000004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4207</v>
      </c>
      <c r="C48" s="21">
        <v>4374</v>
      </c>
      <c r="D48" s="21">
        <v>4282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5.21</v>
      </c>
      <c r="C50" s="20">
        <v>5.48</v>
      </c>
      <c r="D50" s="20">
        <v>5.42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59.39</v>
      </c>
      <c r="C52" s="23">
        <v>64.97</v>
      </c>
      <c r="D52" s="23">
        <v>63.56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471</v>
      </c>
      <c r="C54" s="18">
        <v>492</v>
      </c>
      <c r="D54" s="18">
        <v>483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273</v>
      </c>
      <c r="C56" s="20">
        <v>287</v>
      </c>
      <c r="D56" s="20">
        <v>278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225</v>
      </c>
      <c r="C58" s="20">
        <v>237</v>
      </c>
      <c r="D58" s="20">
        <v>230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627</v>
      </c>
      <c r="C60" s="18">
        <v>674</v>
      </c>
      <c r="D60" s="18">
        <v>653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310</v>
      </c>
      <c r="C62" s="20">
        <v>325</v>
      </c>
      <c r="D62" s="20">
        <v>312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88</v>
      </c>
      <c r="C64" s="18">
        <v>98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434</v>
      </c>
      <c r="C66" s="23">
        <v>465</v>
      </c>
      <c r="D66" s="23">
        <v>447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6" t="s">
        <v>77</v>
      </c>
      <c r="B68" s="26">
        <v>176</v>
      </c>
      <c r="C68" s="26">
        <v>186</v>
      </c>
      <c r="D68" s="26">
        <v>181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187</v>
      </c>
      <c r="C70" s="19">
        <v>212</v>
      </c>
      <c r="D70" s="19">
        <v>199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88502</v>
      </c>
      <c r="C72" s="28">
        <v>93903</v>
      </c>
      <c r="D72" s="28">
        <v>92374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576C-32EE-43E8-9CC7-E0D2D0000DFC}">
  <dimension ref="A1:D73"/>
  <sheetViews>
    <sheetView topLeftCell="A40" workbookViewId="0">
      <selection activeCell="F58" sqref="F58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4.8600000000000003</v>
      </c>
      <c r="C2" s="20">
        <v>4.7300000000000004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4.2300000000000004</v>
      </c>
      <c r="C4" s="18">
        <v>4.05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3.46</v>
      </c>
      <c r="D6" s="18">
        <v>3.53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80.349999999999994</v>
      </c>
      <c r="C8" s="20">
        <v>80.94</v>
      </c>
      <c r="D8" s="20">
        <v>80.569999999999993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111.5</v>
      </c>
      <c r="D10" s="20">
        <v>110.2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6805</v>
      </c>
      <c r="C12" s="21">
        <v>6913</v>
      </c>
      <c r="D12" s="21">
        <v>6827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23195</v>
      </c>
      <c r="C14" s="24">
        <v>23799</v>
      </c>
      <c r="D14" s="24">
        <v>23195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2497</v>
      </c>
      <c r="C16" s="21">
        <v>2592</v>
      </c>
      <c r="D16" s="21">
        <v>2551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141</v>
      </c>
      <c r="C18" s="20">
        <v>148</v>
      </c>
      <c r="D18" s="20">
        <v>144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150</v>
      </c>
      <c r="C20" s="20">
        <v>157</v>
      </c>
      <c r="D20" s="20">
        <v>154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118</v>
      </c>
      <c r="C22" s="21">
        <v>122</v>
      </c>
      <c r="D22" s="21">
        <v>121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3843</v>
      </c>
      <c r="C24" s="29">
        <v>3923</v>
      </c>
      <c r="D24" s="29">
        <v>3867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49312</v>
      </c>
      <c r="C26" s="21">
        <v>51408</v>
      </c>
      <c r="D26" s="21">
        <v>50168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23606</v>
      </c>
      <c r="C28" s="21">
        <v>24419</v>
      </c>
      <c r="D28" s="21">
        <v>24186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14.53</v>
      </c>
      <c r="C30" s="18">
        <v>17.670000000000002</v>
      </c>
      <c r="D30" s="18">
        <v>15.74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98.04</v>
      </c>
      <c r="C32" s="25">
        <v>99.02</v>
      </c>
      <c r="D32" s="25">
        <v>98.24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1.163</v>
      </c>
      <c r="C34" s="23">
        <v>1.1759999999999999</v>
      </c>
      <c r="D34" s="23">
        <v>1.175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6" t="s">
        <v>115</v>
      </c>
      <c r="B36" s="26">
        <v>154.16999999999999</v>
      </c>
      <c r="C36" s="26">
        <v>156.65</v>
      </c>
      <c r="D36" s="26">
        <v>154.99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1.327</v>
      </c>
      <c r="C38" s="20">
        <v>1.343</v>
      </c>
      <c r="D38" s="20">
        <v>1.339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0.71699999999999997</v>
      </c>
      <c r="C40" s="20">
        <v>0.72799999999999998</v>
      </c>
      <c r="D40" s="20">
        <v>0.72599999999999998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56.97</v>
      </c>
      <c r="C42" s="18">
        <v>59.17</v>
      </c>
      <c r="D42" s="18">
        <v>57.53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60.9</v>
      </c>
      <c r="C44" s="18">
        <v>62.98</v>
      </c>
      <c r="D44" s="18">
        <v>61.22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3.94</v>
      </c>
      <c r="C46" s="28">
        <v>4.76</v>
      </c>
      <c r="D46" s="28">
        <v>4.0999999999999996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4204</v>
      </c>
      <c r="C48" s="21">
        <v>4357</v>
      </c>
      <c r="D48" s="21">
        <v>4347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</v>
      </c>
      <c r="C50" s="20">
        <v>5.48</v>
      </c>
      <c r="D50" s="20">
        <v>5.28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59.92</v>
      </c>
      <c r="C52" s="23">
        <v>64.209999999999994</v>
      </c>
      <c r="D52" s="23">
        <v>62.01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471</v>
      </c>
      <c r="C54" s="18">
        <v>491</v>
      </c>
      <c r="D54" s="18">
        <v>479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273</v>
      </c>
      <c r="C56" s="20">
        <v>287</v>
      </c>
      <c r="D56" s="20">
        <v>278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222</v>
      </c>
      <c r="C58" s="20">
        <v>236</v>
      </c>
      <c r="D58" s="20">
        <v>226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629</v>
      </c>
      <c r="C60" s="18">
        <v>672</v>
      </c>
      <c r="D60" s="18">
        <v>644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307</v>
      </c>
      <c r="C62" s="20">
        <v>324</v>
      </c>
      <c r="D62" s="20">
        <v>309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87</v>
      </c>
      <c r="C64" s="18">
        <v>99</v>
      </c>
      <c r="D64" s="18">
        <v>95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436</v>
      </c>
      <c r="C66" s="23">
        <v>468</v>
      </c>
      <c r="D66" s="23">
        <v>459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171</v>
      </c>
      <c r="C68" s="18">
        <v>183</v>
      </c>
      <c r="D68" s="18">
        <v>175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185</v>
      </c>
      <c r="C70" s="19">
        <v>210</v>
      </c>
      <c r="D70" s="19">
        <v>190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88008</v>
      </c>
      <c r="C72" s="28">
        <v>93677</v>
      </c>
      <c r="D72" s="28">
        <v>89697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0EC0-A7BC-41F0-84A6-F9861821E27B}">
  <dimension ref="A1:D73"/>
  <sheetViews>
    <sheetView topLeftCell="A37" workbookViewId="0">
      <selection activeCell="F64" sqref="F64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4.88</v>
      </c>
      <c r="C2" s="20">
        <v>4.75</v>
      </c>
      <c r="D2" s="20">
        <v>4.8499999999999996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4.2300000000000004</v>
      </c>
      <c r="C4" s="18">
        <v>4.05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3.46</v>
      </c>
      <c r="D6" s="18">
        <v>3.52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80.39</v>
      </c>
      <c r="C8" s="20">
        <v>80.94</v>
      </c>
      <c r="D8" s="20">
        <v>80.61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111.4</v>
      </c>
      <c r="D10" s="20">
        <v>110.3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6795</v>
      </c>
      <c r="C12" s="21">
        <v>6916</v>
      </c>
      <c r="D12" s="21">
        <v>6816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22901</v>
      </c>
      <c r="C14" s="24">
        <v>23862</v>
      </c>
      <c r="D14" s="24">
        <v>23057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2484</v>
      </c>
      <c r="C16" s="21">
        <v>2578</v>
      </c>
      <c r="D16" s="21">
        <v>2530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140</v>
      </c>
      <c r="C18" s="20">
        <v>148</v>
      </c>
      <c r="D18" s="20">
        <v>142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152</v>
      </c>
      <c r="C20" s="20">
        <v>158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119</v>
      </c>
      <c r="C22" s="21">
        <v>123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3810</v>
      </c>
      <c r="C24" s="29">
        <v>3905</v>
      </c>
      <c r="D24" s="29">
        <v>3824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49003</v>
      </c>
      <c r="C26" s="21">
        <v>51164</v>
      </c>
      <c r="D26" s="21">
        <v>49383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23708</v>
      </c>
      <c r="C28" s="21">
        <v>24436</v>
      </c>
      <c r="D28" s="21">
        <v>24229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14.64</v>
      </c>
      <c r="C30" s="18">
        <v>17.829999999999998</v>
      </c>
      <c r="D30" s="18">
        <v>16.5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97.84</v>
      </c>
      <c r="C32" s="25">
        <v>99.05</v>
      </c>
      <c r="D32" s="25">
        <v>98.14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1.163</v>
      </c>
      <c r="C34" s="23">
        <v>1.181</v>
      </c>
      <c r="D34" s="23">
        <v>1.177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6" t="s">
        <v>115</v>
      </c>
      <c r="B36" s="26">
        <v>154.07</v>
      </c>
      <c r="C36" s="26">
        <v>156.61000000000001</v>
      </c>
      <c r="D36" s="26">
        <v>154.80000000000001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1.329</v>
      </c>
      <c r="C38" s="20">
        <v>1.345</v>
      </c>
      <c r="D38" s="20">
        <v>1.343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0.71799999999999997</v>
      </c>
      <c r="C40" s="20">
        <v>0.72799999999999998</v>
      </c>
      <c r="D40" s="20">
        <v>0.72599999999999998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55.39</v>
      </c>
      <c r="C42" s="18">
        <v>58.87</v>
      </c>
      <c r="D42" s="18">
        <v>56.88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59.11</v>
      </c>
      <c r="C44" s="18">
        <v>62.7</v>
      </c>
      <c r="D44" s="18">
        <v>60.39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3.71</v>
      </c>
      <c r="C46" s="19">
        <v>4.4400000000000004</v>
      </c>
      <c r="D46" s="19">
        <v>4.03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4215</v>
      </c>
      <c r="C48" s="21">
        <v>4342</v>
      </c>
      <c r="D48" s="21">
        <v>4291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</v>
      </c>
      <c r="C50" s="20">
        <v>5.45</v>
      </c>
      <c r="D50" s="20">
        <v>5.33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60.25</v>
      </c>
      <c r="C52" s="23">
        <v>65.38</v>
      </c>
      <c r="D52" s="23">
        <v>64.08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469</v>
      </c>
      <c r="C54" s="18">
        <v>489</v>
      </c>
      <c r="D54" s="18">
        <v>475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272</v>
      </c>
      <c r="C56" s="20">
        <v>286</v>
      </c>
      <c r="D56" s="20">
        <v>274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67</v>
      </c>
      <c r="B58" s="20">
        <v>217</v>
      </c>
      <c r="C58" s="20">
        <v>232</v>
      </c>
      <c r="D58" s="20">
        <v>223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631</v>
      </c>
      <c r="C60" s="18">
        <v>672</v>
      </c>
      <c r="D60" s="18">
        <v>648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305</v>
      </c>
      <c r="C62" s="20">
        <v>325</v>
      </c>
      <c r="D62" s="20">
        <v>308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87</v>
      </c>
      <c r="C64" s="18">
        <v>97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439</v>
      </c>
      <c r="C66" s="23">
        <v>480</v>
      </c>
      <c r="D66" s="23">
        <v>475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172</v>
      </c>
      <c r="C68" s="18">
        <v>183</v>
      </c>
      <c r="D68" s="18">
        <v>176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180</v>
      </c>
      <c r="C70" s="19">
        <v>207</v>
      </c>
      <c r="D70" s="19">
        <v>185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85238</v>
      </c>
      <c r="C72" s="19">
        <v>93501</v>
      </c>
      <c r="D72" s="19">
        <v>87217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CF65-3A2A-4566-88AC-EBD7064F3F42}">
  <dimension ref="A1:D73"/>
  <sheetViews>
    <sheetView topLeftCell="A42" workbookViewId="0">
      <selection activeCell="A58" sqref="A58:D58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4.87</v>
      </c>
      <c r="C2" s="20">
        <v>4.74</v>
      </c>
      <c r="D2" s="20">
        <v>4.82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</v>
      </c>
      <c r="C4" s="18">
        <v>4.07</v>
      </c>
      <c r="D4" s="18">
        <v>4.1399999999999997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3.59</v>
      </c>
      <c r="C6" s="18">
        <v>3.46</v>
      </c>
      <c r="D6" s="18">
        <v>3.5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80.400000000000006</v>
      </c>
      <c r="C8" s="20">
        <v>80.91</v>
      </c>
      <c r="D8" s="20">
        <v>80.66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111.1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6777</v>
      </c>
      <c r="C12" s="21">
        <v>6921</v>
      </c>
      <c r="D12" s="21">
        <v>6800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22954</v>
      </c>
      <c r="C14" s="24">
        <v>23893</v>
      </c>
      <c r="D14" s="24">
        <v>23111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2484</v>
      </c>
      <c r="C16" s="21">
        <v>2578</v>
      </c>
      <c r="D16" s="21">
        <v>2519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140</v>
      </c>
      <c r="C18" s="20">
        <v>148</v>
      </c>
      <c r="D18" s="20">
        <v>143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151</v>
      </c>
      <c r="C20" s="20">
        <v>157</v>
      </c>
      <c r="D20" s="20">
        <v>154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120</v>
      </c>
      <c r="C22" s="21">
        <v>124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3820</v>
      </c>
      <c r="C24" s="29">
        <v>3898</v>
      </c>
      <c r="D24" s="29">
        <v>3870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49303</v>
      </c>
      <c r="C26" s="21">
        <v>51111</v>
      </c>
      <c r="D26" s="21">
        <v>49512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23813</v>
      </c>
      <c r="C28" s="21">
        <v>24407</v>
      </c>
      <c r="D28" s="21">
        <v>24076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14.64</v>
      </c>
      <c r="C30" s="18">
        <v>17.809999999999999</v>
      </c>
      <c r="D30" s="18">
        <v>16.48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97.84</v>
      </c>
      <c r="C32" s="25">
        <v>99.03</v>
      </c>
      <c r="D32" s="25">
        <v>98.56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1.1639999999999999</v>
      </c>
      <c r="C34" s="23">
        <v>1.181</v>
      </c>
      <c r="D34" s="23">
        <v>1.1719999999999999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154.4</v>
      </c>
      <c r="C36" s="20">
        <v>156.78</v>
      </c>
      <c r="D36" s="20">
        <v>155.51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1.327</v>
      </c>
      <c r="C38" s="20">
        <v>1.345</v>
      </c>
      <c r="D38" s="20">
        <v>1.333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</v>
      </c>
      <c r="C40" s="20">
        <v>0.72899999999999998</v>
      </c>
      <c r="D40" s="20">
        <v>0.72499999999999998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55.12</v>
      </c>
      <c r="C42" s="18">
        <v>58.23</v>
      </c>
      <c r="D42" s="18">
        <v>55.93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58.52</v>
      </c>
      <c r="C44" s="18">
        <v>61.93</v>
      </c>
      <c r="D44" s="18">
        <v>58.92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3.61</v>
      </c>
      <c r="C46" s="19">
        <v>4.4000000000000004</v>
      </c>
      <c r="D46" s="19">
        <v>3.89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4236</v>
      </c>
      <c r="C48" s="21">
        <v>4356</v>
      </c>
      <c r="D48" s="21">
        <v>4320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5.23</v>
      </c>
      <c r="C50" s="20">
        <v>5.47</v>
      </c>
      <c r="D50" s="20">
        <v>5.3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61.56</v>
      </c>
      <c r="C52" s="23">
        <v>66.98</v>
      </c>
      <c r="D52" s="23">
        <v>65.819999999999993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469</v>
      </c>
      <c r="C54" s="18">
        <v>487</v>
      </c>
      <c r="D54" s="18">
        <v>476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272</v>
      </c>
      <c r="C56" s="20">
        <v>283</v>
      </c>
      <c r="D56" s="20">
        <v>275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18" t="s">
        <v>67</v>
      </c>
      <c r="B58" s="18">
        <v>219</v>
      </c>
      <c r="C58" s="18">
        <v>231</v>
      </c>
      <c r="D58" s="18">
        <v>223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634</v>
      </c>
      <c r="C60" s="18">
        <v>675</v>
      </c>
      <c r="D60" s="18">
        <v>657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303</v>
      </c>
      <c r="C62" s="20">
        <v>325</v>
      </c>
      <c r="D62" s="20">
        <v>307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88</v>
      </c>
      <c r="C64" s="18">
        <v>98</v>
      </c>
      <c r="D64" s="18">
        <v>95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458</v>
      </c>
      <c r="C66" s="23">
        <v>500</v>
      </c>
      <c r="D66" s="23">
        <v>490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172</v>
      </c>
      <c r="C68" s="18">
        <v>182</v>
      </c>
      <c r="D68" s="18">
        <v>178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175</v>
      </c>
      <c r="C70" s="19">
        <v>205</v>
      </c>
      <c r="D70" s="19">
        <v>189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85002</v>
      </c>
      <c r="C72" s="19">
        <v>91153</v>
      </c>
      <c r="D72" s="19">
        <v>87111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0B99-34E3-4A6E-BE07-E846F7E166DE}">
  <dimension ref="A1:D73"/>
  <sheetViews>
    <sheetView topLeftCell="A57" workbookViewId="0">
      <selection activeCell="A37" sqref="A1:D1048576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4.88</v>
      </c>
      <c r="C2" s="20">
        <v>4.76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4.21</v>
      </c>
      <c r="C4" s="18">
        <v>4.09</v>
      </c>
      <c r="D4" s="18">
        <v>4.16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3.58</v>
      </c>
      <c r="C6" s="18">
        <v>3.43</v>
      </c>
      <c r="D6" s="18">
        <v>3.49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80.41</v>
      </c>
      <c r="C8" s="20">
        <v>80.88</v>
      </c>
      <c r="D8" s="20">
        <v>80.56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111.2</v>
      </c>
      <c r="D10" s="20">
        <v>110.4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6694</v>
      </c>
      <c r="C12" s="21">
        <v>6925</v>
      </c>
      <c r="D12" s="21">
        <v>6721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22602</v>
      </c>
      <c r="C14" s="24">
        <v>23972</v>
      </c>
      <c r="D14" s="24">
        <v>22693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2475</v>
      </c>
      <c r="C16" s="21">
        <v>2590</v>
      </c>
      <c r="D16" s="21">
        <v>2492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6" t="s">
        <v>89</v>
      </c>
      <c r="B18" s="26">
        <v>136</v>
      </c>
      <c r="C18" s="26">
        <v>145</v>
      </c>
      <c r="D18" s="26">
        <v>139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149</v>
      </c>
      <c r="C20" s="20">
        <v>157</v>
      </c>
      <c r="D20" s="20">
        <v>154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119</v>
      </c>
      <c r="C22" s="21">
        <v>124</v>
      </c>
      <c r="D22" s="21">
        <v>121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3814</v>
      </c>
      <c r="C24" s="29">
        <v>3899</v>
      </c>
      <c r="D24" s="29">
        <v>3876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48521</v>
      </c>
      <c r="C26" s="21">
        <v>51107</v>
      </c>
      <c r="D26" s="21">
        <v>49001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23818</v>
      </c>
      <c r="C28" s="21">
        <v>24301</v>
      </c>
      <c r="D28" s="21">
        <v>23960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14.52</v>
      </c>
      <c r="C30" s="18">
        <v>18.010000000000002</v>
      </c>
      <c r="D30" s="18">
        <v>17.62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97.78</v>
      </c>
      <c r="C32" s="25">
        <v>98.99</v>
      </c>
      <c r="D32" s="25">
        <v>98.52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1.1619999999999999</v>
      </c>
      <c r="C34" s="23">
        <v>1.181</v>
      </c>
      <c r="D34" s="23">
        <v>1.1719999999999999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154.57</v>
      </c>
      <c r="C36" s="20">
        <v>156.94</v>
      </c>
      <c r="D36" s="20">
        <v>155.77000000000001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1.3280000000000001</v>
      </c>
      <c r="C38" s="20">
        <v>1.345</v>
      </c>
      <c r="D38" s="20">
        <v>1.3380000000000001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</v>
      </c>
      <c r="C40" s="20">
        <v>0.72899999999999998</v>
      </c>
      <c r="D40" s="20">
        <v>0.72499999999999998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55.04</v>
      </c>
      <c r="C42" s="18">
        <v>58.42</v>
      </c>
      <c r="D42" s="18">
        <v>56.9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58.63</v>
      </c>
      <c r="C44" s="18">
        <v>62.3</v>
      </c>
      <c r="D44" s="18">
        <v>60.61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3.52</v>
      </c>
      <c r="C46" s="28">
        <v>4.41</v>
      </c>
      <c r="D46" s="28">
        <v>4.1100000000000003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4251</v>
      </c>
      <c r="C48" s="21">
        <v>4375</v>
      </c>
      <c r="D48" s="21">
        <v>4320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5.22</v>
      </c>
      <c r="C50" s="20">
        <v>5.5</v>
      </c>
      <c r="D50" s="20">
        <v>5.35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62.13</v>
      </c>
      <c r="C52" s="23">
        <v>67.47</v>
      </c>
      <c r="D52" s="23">
        <v>66.11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467</v>
      </c>
      <c r="C54" s="18">
        <v>485</v>
      </c>
      <c r="D54" s="18">
        <v>476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282</v>
      </c>
      <c r="D56" s="20">
        <v>272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18" t="s">
        <v>67</v>
      </c>
      <c r="B58" s="18">
        <v>216</v>
      </c>
      <c r="C58" s="18">
        <v>228</v>
      </c>
      <c r="D58" s="18">
        <v>221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635</v>
      </c>
      <c r="C60" s="18">
        <v>673</v>
      </c>
      <c r="D60" s="18">
        <v>650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291</v>
      </c>
      <c r="C62" s="20">
        <v>329</v>
      </c>
      <c r="D62" s="20">
        <v>297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89</v>
      </c>
      <c r="C64" s="18">
        <v>99</v>
      </c>
      <c r="D64" s="18">
        <v>95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445</v>
      </c>
      <c r="C66" s="23">
        <v>590</v>
      </c>
      <c r="D66" s="23">
        <v>467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166</v>
      </c>
      <c r="C68" s="18">
        <v>179</v>
      </c>
      <c r="D68" s="18">
        <v>171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166</v>
      </c>
      <c r="C70" s="19">
        <v>199</v>
      </c>
      <c r="D70" s="19">
        <v>178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84711</v>
      </c>
      <c r="C72" s="19">
        <v>91759</v>
      </c>
      <c r="D72" s="19">
        <v>87330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7B3A-A6E5-44D4-BBF4-5F6B6C9D3278}">
  <dimension ref="A1:D73"/>
  <sheetViews>
    <sheetView workbookViewId="0">
      <selection sqref="A1:D1048576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4.87</v>
      </c>
      <c r="C2" s="20">
        <v>4.76</v>
      </c>
      <c r="D2" s="20">
        <v>4.8099999999999996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</v>
      </c>
      <c r="C4" s="18">
        <v>4.0999999999999996</v>
      </c>
      <c r="D4" s="18">
        <v>4.12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3.55</v>
      </c>
      <c r="C6" s="18">
        <v>3.43</v>
      </c>
      <c r="D6" s="18">
        <v>3.47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80.41</v>
      </c>
      <c r="C8" s="20">
        <v>80.89</v>
      </c>
      <c r="D8" s="20">
        <v>80.78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111.3</v>
      </c>
      <c r="D10" s="20">
        <v>110.9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6712</v>
      </c>
      <c r="C12" s="21">
        <v>6937</v>
      </c>
      <c r="D12" s="21">
        <v>6774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22632</v>
      </c>
      <c r="C14" s="24">
        <v>23913</v>
      </c>
      <c r="D14" s="24">
        <v>23006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2484</v>
      </c>
      <c r="C16" s="21">
        <v>2600</v>
      </c>
      <c r="D16" s="21">
        <v>2507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6" t="s">
        <v>89</v>
      </c>
      <c r="B18" s="26">
        <v>137</v>
      </c>
      <c r="C18" s="26">
        <v>145</v>
      </c>
      <c r="D18" s="26">
        <v>142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150</v>
      </c>
      <c r="C20" s="20">
        <v>157</v>
      </c>
      <c r="D20" s="20">
        <v>154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120</v>
      </c>
      <c r="C22" s="21">
        <v>125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5" t="s">
        <v>33</v>
      </c>
      <c r="B24" s="29">
        <v>3820</v>
      </c>
      <c r="C24" s="29">
        <v>3922</v>
      </c>
      <c r="D24" s="29">
        <v>3890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48898</v>
      </c>
      <c r="C26" s="21">
        <v>51319</v>
      </c>
      <c r="D26" s="21">
        <v>49507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23908</v>
      </c>
      <c r="C28" s="21">
        <v>24395</v>
      </c>
      <c r="D28" s="21">
        <v>24199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14.73</v>
      </c>
      <c r="C30" s="18">
        <v>17.97</v>
      </c>
      <c r="D30" s="18">
        <v>16.87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97.89</v>
      </c>
      <c r="C32" s="25">
        <v>99.04</v>
      </c>
      <c r="D32" s="25">
        <v>98.68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1.163</v>
      </c>
      <c r="C34" s="23">
        <v>1.181</v>
      </c>
      <c r="D34" s="23">
        <v>1.171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155.36000000000001</v>
      </c>
      <c r="C36" s="20">
        <v>157.49</v>
      </c>
      <c r="D36" s="20">
        <v>157.28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1.329</v>
      </c>
      <c r="C38" s="20">
        <v>1.3460000000000001</v>
      </c>
      <c r="D38" s="20">
        <v>1.337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0.72099999999999997</v>
      </c>
      <c r="C40" s="20">
        <v>0.72899999999999998</v>
      </c>
      <c r="D40" s="20">
        <v>0.72399999999999998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54.52</v>
      </c>
      <c r="C42" s="18">
        <v>58.18</v>
      </c>
      <c r="D42" s="18">
        <v>56.01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58.23</v>
      </c>
      <c r="C44" s="18">
        <v>62.11</v>
      </c>
      <c r="D44" s="18">
        <v>59.71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3.54</v>
      </c>
      <c r="C46" s="19">
        <v>4.45</v>
      </c>
      <c r="D46" s="19">
        <v>3.92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4265</v>
      </c>
      <c r="C48" s="21">
        <v>4398</v>
      </c>
      <c r="D48" s="21">
        <v>4325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5.25</v>
      </c>
      <c r="C50" s="20">
        <v>5.5</v>
      </c>
      <c r="D50" s="20">
        <v>5.35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62.86</v>
      </c>
      <c r="C52" s="23">
        <v>67.67</v>
      </c>
      <c r="D52" s="23">
        <v>65.41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468</v>
      </c>
      <c r="C54" s="18">
        <v>491</v>
      </c>
      <c r="D54" s="18">
        <v>484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283</v>
      </c>
      <c r="D56" s="20">
        <v>272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6" t="s">
        <v>90</v>
      </c>
      <c r="B58" s="26">
        <v>217</v>
      </c>
      <c r="C58" s="26">
        <v>230</v>
      </c>
      <c r="D58" s="26">
        <v>227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637</v>
      </c>
      <c r="C60" s="18">
        <v>674</v>
      </c>
      <c r="D60" s="18">
        <v>664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293</v>
      </c>
      <c r="C62" s="20">
        <v>326</v>
      </c>
      <c r="D62" s="20">
        <v>302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90</v>
      </c>
      <c r="C64" s="18">
        <v>98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461</v>
      </c>
      <c r="C66" s="23">
        <v>501</v>
      </c>
      <c r="D66" s="23">
        <v>483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167</v>
      </c>
      <c r="C68" s="18">
        <v>181</v>
      </c>
      <c r="D68" s="18">
        <v>174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165</v>
      </c>
      <c r="C70" s="19">
        <v>199</v>
      </c>
      <c r="D70" s="19">
        <v>180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84178</v>
      </c>
      <c r="C72" s="19">
        <v>91548</v>
      </c>
      <c r="D72" s="19">
        <v>88216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B23B-5121-4A67-AE86-30DFFDC737D1}">
  <dimension ref="A1:D73"/>
  <sheetViews>
    <sheetView workbookViewId="0">
      <selection activeCell="A46" sqref="A46:D46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4.88</v>
      </c>
      <c r="C2" s="20">
        <v>4.7699999999999996</v>
      </c>
      <c r="D2" s="20">
        <v>4.82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4.21</v>
      </c>
      <c r="C4" s="18">
        <v>4.0999999999999996</v>
      </c>
      <c r="D4" s="18">
        <v>4.1399999999999997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3.53</v>
      </c>
      <c r="C6" s="18">
        <v>3.43</v>
      </c>
      <c r="D6" s="18">
        <v>3.49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80.099999999999994</v>
      </c>
      <c r="C8" s="20">
        <v>80.67</v>
      </c>
      <c r="D8" s="20">
        <v>80.36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110.9</v>
      </c>
      <c r="D10" s="20">
        <v>110.1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6721</v>
      </c>
      <c r="C12" s="21">
        <v>6936</v>
      </c>
      <c r="D12" s="21">
        <v>6834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22636</v>
      </c>
      <c r="C14" s="24">
        <v>23877</v>
      </c>
      <c r="D14" s="24">
        <v>23307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2498</v>
      </c>
      <c r="C16" s="21">
        <v>2601</v>
      </c>
      <c r="D16" s="21">
        <v>2529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139</v>
      </c>
      <c r="C18" s="20">
        <v>148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151</v>
      </c>
      <c r="C20" s="20">
        <v>158</v>
      </c>
      <c r="D20" s="20">
        <v>155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121</v>
      </c>
      <c r="C22" s="21">
        <v>125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7" t="s">
        <v>93</v>
      </c>
      <c r="B24" s="30">
        <v>3823</v>
      </c>
      <c r="C24" s="30">
        <v>3930</v>
      </c>
      <c r="D24" s="30">
        <v>3917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49001</v>
      </c>
      <c r="C26" s="21">
        <v>51218</v>
      </c>
      <c r="D26" s="21">
        <v>50402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23912</v>
      </c>
      <c r="C28" s="21">
        <v>24398</v>
      </c>
      <c r="D28" s="21">
        <v>24288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14.22</v>
      </c>
      <c r="C30" s="18">
        <v>17.29</v>
      </c>
      <c r="D30" s="18">
        <v>14.91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98.01</v>
      </c>
      <c r="C32" s="25">
        <v>98.92</v>
      </c>
      <c r="D32" s="25">
        <v>98.45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1.167</v>
      </c>
      <c r="C34" s="23">
        <v>1.18</v>
      </c>
      <c r="D34" s="23">
        <v>1.1739999999999999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155.54</v>
      </c>
      <c r="C36" s="20">
        <v>157.9</v>
      </c>
      <c r="D36" s="20">
        <v>157.41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1.331</v>
      </c>
      <c r="C38" s="20">
        <v>1.3460000000000001</v>
      </c>
      <c r="D38" s="20">
        <v>1.343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0.72199999999999998</v>
      </c>
      <c r="C40" s="20">
        <v>0.72899999999999998</v>
      </c>
      <c r="D40" s="20">
        <v>0.72599999999999998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54.67</v>
      </c>
      <c r="C42" s="18">
        <v>58.16</v>
      </c>
      <c r="D42" s="18">
        <v>56.55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58.21</v>
      </c>
      <c r="C44" s="18">
        <v>62.03</v>
      </c>
      <c r="D44" s="18">
        <v>60.5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3.67</v>
      </c>
      <c r="C46" s="28">
        <v>4.63</v>
      </c>
      <c r="D46" s="28">
        <v>4.0199999999999996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4290</v>
      </c>
      <c r="C48" s="21">
        <v>4426</v>
      </c>
      <c r="D48" s="21">
        <v>4407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5.28</v>
      </c>
      <c r="C50" s="20">
        <v>5.5</v>
      </c>
      <c r="D50" s="20">
        <v>5.42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64.040000000000006</v>
      </c>
      <c r="C52" s="23">
        <v>69.39</v>
      </c>
      <c r="D52" s="23">
        <v>67.209999999999994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469</v>
      </c>
      <c r="C54" s="18">
        <v>492</v>
      </c>
      <c r="D54" s="18">
        <v>486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282</v>
      </c>
      <c r="D56" s="20">
        <v>274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6" t="s">
        <v>90</v>
      </c>
      <c r="B58" s="26">
        <v>218</v>
      </c>
      <c r="C58" s="26">
        <v>232</v>
      </c>
      <c r="D58" s="26">
        <v>227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639</v>
      </c>
      <c r="C60" s="18">
        <v>675</v>
      </c>
      <c r="D60" s="18">
        <v>659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296</v>
      </c>
      <c r="C62" s="20">
        <v>324</v>
      </c>
      <c r="D62" s="20">
        <v>307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90</v>
      </c>
      <c r="C64" s="18">
        <v>98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455</v>
      </c>
      <c r="C66" s="23">
        <v>501</v>
      </c>
      <c r="D66" s="23">
        <v>481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6" t="s">
        <v>77</v>
      </c>
      <c r="B68" s="26">
        <v>169</v>
      </c>
      <c r="C68" s="26">
        <v>185</v>
      </c>
      <c r="D68" s="26">
        <v>181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163</v>
      </c>
      <c r="C70" s="19">
        <v>208</v>
      </c>
      <c r="D70" s="19">
        <v>192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85226</v>
      </c>
      <c r="C72" s="28">
        <v>91212</v>
      </c>
      <c r="D72" s="28">
        <v>90294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9A19-F4DE-4F45-8F88-F1FECEFD39FA}">
  <dimension ref="A1:D73"/>
  <sheetViews>
    <sheetView topLeftCell="A65" workbookViewId="0">
      <selection activeCell="C85" sqref="C85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4.87</v>
      </c>
      <c r="C2" s="20">
        <v>4.7699999999999996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</v>
      </c>
      <c r="C4" s="18">
        <v>4.0999999999999996</v>
      </c>
      <c r="D4" s="18">
        <v>4.16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3.55</v>
      </c>
      <c r="C6" s="18">
        <v>3.44</v>
      </c>
      <c r="D6" s="18">
        <v>3.52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80.150000000000006</v>
      </c>
      <c r="C8" s="20">
        <v>80.680000000000007</v>
      </c>
      <c r="D8" s="20">
        <v>80.430000000000007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109.7</v>
      </c>
      <c r="C10" s="20">
        <v>110.8</v>
      </c>
      <c r="D10" s="20">
        <v>110.1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6751</v>
      </c>
      <c r="C12" s="21">
        <v>6945</v>
      </c>
      <c r="D12" s="21">
        <v>6878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22667</v>
      </c>
      <c r="C14" s="24">
        <v>23851</v>
      </c>
      <c r="D14" s="24">
        <v>23428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2511</v>
      </c>
      <c r="C16" s="21">
        <v>2612</v>
      </c>
      <c r="D16" s="21">
        <v>2558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140</v>
      </c>
      <c r="C18" s="20">
        <v>149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152</v>
      </c>
      <c r="C20" s="20">
        <v>157</v>
      </c>
      <c r="D20" s="20">
        <v>155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120</v>
      </c>
      <c r="C22" s="21">
        <v>124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7" t="s">
        <v>93</v>
      </c>
      <c r="B24" s="30">
        <v>3824</v>
      </c>
      <c r="C24" s="30">
        <v>3931</v>
      </c>
      <c r="D24" s="30">
        <v>3919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49003</v>
      </c>
      <c r="C26" s="21">
        <v>51197</v>
      </c>
      <c r="D26" s="21">
        <v>50412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23914</v>
      </c>
      <c r="C28" s="21">
        <v>24443</v>
      </c>
      <c r="D28" s="21">
        <v>24283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13.67</v>
      </c>
      <c r="C30" s="18">
        <v>17.16</v>
      </c>
      <c r="D30" s="18">
        <v>14.08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97.61</v>
      </c>
      <c r="C32" s="25">
        <v>98.6</v>
      </c>
      <c r="D32" s="25">
        <v>97.88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1.169</v>
      </c>
      <c r="C34" s="23">
        <v>1.1819999999999999</v>
      </c>
      <c r="D34" s="23">
        <v>1.18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154.97999999999999</v>
      </c>
      <c r="C36" s="20">
        <v>157.76</v>
      </c>
      <c r="D36" s="20">
        <v>155.97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1.3320000000000001</v>
      </c>
      <c r="C38" s="20">
        <v>1.3520000000000001</v>
      </c>
      <c r="D38" s="20">
        <v>1.351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0.72399999999999998</v>
      </c>
      <c r="C40" s="20">
        <v>0.73099999999999998</v>
      </c>
      <c r="D40" s="20">
        <v>0.72899999999999998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54.8</v>
      </c>
      <c r="C42" s="18">
        <v>58.98</v>
      </c>
      <c r="D42" s="18">
        <v>57.95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58.31</v>
      </c>
      <c r="C44" s="18">
        <v>62.65</v>
      </c>
      <c r="D44" s="18">
        <v>62.04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3.64</v>
      </c>
      <c r="C46" s="28">
        <v>4.49</v>
      </c>
      <c r="D46" s="28">
        <v>3.98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4328</v>
      </c>
      <c r="C48" s="21">
        <v>4511</v>
      </c>
      <c r="D48" s="21">
        <v>4484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5.29</v>
      </c>
      <c r="C50" s="20">
        <v>5.55</v>
      </c>
      <c r="D50" s="20">
        <v>5.43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64.97</v>
      </c>
      <c r="C52" s="23">
        <v>70.28</v>
      </c>
      <c r="D52" s="23">
        <v>69.03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470</v>
      </c>
      <c r="C54" s="18">
        <v>490</v>
      </c>
      <c r="D54" s="18">
        <v>485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267</v>
      </c>
      <c r="C56" s="20">
        <v>281</v>
      </c>
      <c r="D56" s="20">
        <v>271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6" t="s">
        <v>90</v>
      </c>
      <c r="B58" s="26">
        <v>218</v>
      </c>
      <c r="C58" s="26">
        <v>234</v>
      </c>
      <c r="D58" s="26">
        <v>228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639</v>
      </c>
      <c r="C60" s="18">
        <v>676</v>
      </c>
      <c r="D60" s="18">
        <v>662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296</v>
      </c>
      <c r="C62" s="20">
        <v>323</v>
      </c>
      <c r="D62" s="20">
        <v>310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90</v>
      </c>
      <c r="C64" s="18">
        <v>97</v>
      </c>
      <c r="D64" s="18">
        <v>93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456</v>
      </c>
      <c r="C66" s="23">
        <v>505</v>
      </c>
      <c r="D66" s="23">
        <v>489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170</v>
      </c>
      <c r="C68" s="20">
        <v>187</v>
      </c>
      <c r="D68" s="20">
        <v>184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165</v>
      </c>
      <c r="C70" s="19">
        <v>209</v>
      </c>
      <c r="D70" s="19">
        <v>198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85213</v>
      </c>
      <c r="C72" s="19">
        <v>90883</v>
      </c>
      <c r="D72" s="19">
        <v>87716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E70A-92F1-4E9E-BC6D-E842505C12D0}">
  <dimension ref="A1:D73"/>
  <sheetViews>
    <sheetView topLeftCell="A43" workbookViewId="0">
      <selection activeCell="A58" sqref="A58:D58"/>
    </sheetView>
  </sheetViews>
  <sheetFormatPr defaultRowHeight="15" x14ac:dyDescent="0.25"/>
  <cols>
    <col min="1" max="1" width="42.140625" bestFit="1" customWidth="1"/>
    <col min="2" max="2" width="15" bestFit="1" customWidth="1"/>
    <col min="3" max="3" width="15.140625" bestFit="1" customWidth="1"/>
    <col min="4" max="4" width="16.57031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4.8600000000000003</v>
      </c>
      <c r="C2" s="20">
        <v>4.78</v>
      </c>
      <c r="D2" s="20">
        <v>4.83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4.1100000000000003</v>
      </c>
      <c r="D4" s="18">
        <v>4.17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3.55</v>
      </c>
      <c r="C6" s="18">
        <v>3.43</v>
      </c>
      <c r="D6" s="18">
        <v>3.54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80.16</v>
      </c>
      <c r="C8" s="20">
        <v>80.67</v>
      </c>
      <c r="D8" s="20">
        <v>80.489999999999995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110.7</v>
      </c>
      <c r="D10" s="20">
        <v>110.2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6803</v>
      </c>
      <c r="C12" s="21">
        <v>6954</v>
      </c>
      <c r="D12" s="21">
        <v>6909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22771</v>
      </c>
      <c r="C14" s="24">
        <v>23852</v>
      </c>
      <c r="D14" s="24">
        <v>23561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2501</v>
      </c>
      <c r="C16" s="21">
        <v>2603</v>
      </c>
      <c r="D16" s="21">
        <v>2541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140</v>
      </c>
      <c r="C18" s="20">
        <v>148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152</v>
      </c>
      <c r="C20" s="20">
        <v>157</v>
      </c>
      <c r="D20" s="20">
        <v>155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120</v>
      </c>
      <c r="C22" s="21">
        <v>124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7" t="s">
        <v>93</v>
      </c>
      <c r="B24" s="30">
        <v>3826</v>
      </c>
      <c r="C24" s="30">
        <v>3964</v>
      </c>
      <c r="D24" s="30">
        <v>3940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49005</v>
      </c>
      <c r="C26" s="21">
        <v>51165</v>
      </c>
      <c r="D26" s="21">
        <v>50344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24019</v>
      </c>
      <c r="C28" s="21">
        <v>24490</v>
      </c>
      <c r="D28" s="21">
        <v>24340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13.15</v>
      </c>
      <c r="C30" s="18">
        <v>16.940000000000001</v>
      </c>
      <c r="D30" s="18">
        <v>14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97.65</v>
      </c>
      <c r="C32" s="25">
        <v>98.59</v>
      </c>
      <c r="D32" s="25">
        <v>97.89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</v>
      </c>
      <c r="C34" s="23">
        <v>1.1830000000000001</v>
      </c>
      <c r="D34" s="23">
        <v>1.179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154.77000000000001</v>
      </c>
      <c r="C36" s="20">
        <v>157.68</v>
      </c>
      <c r="D36" s="20">
        <v>155.93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1.3340000000000001</v>
      </c>
      <c r="C38" s="20">
        <v>1.355</v>
      </c>
      <c r="D38" s="20">
        <v>1.351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0.72399999999999998</v>
      </c>
      <c r="C40" s="20">
        <v>0.73199999999999998</v>
      </c>
      <c r="D40" s="20">
        <v>0.73099999999999998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54.79</v>
      </c>
      <c r="C42" s="18">
        <v>59.01</v>
      </c>
      <c r="D42" s="18">
        <v>58.49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58.8</v>
      </c>
      <c r="C44" s="18">
        <v>62.97</v>
      </c>
      <c r="D44" s="18">
        <v>62.46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3.81</v>
      </c>
      <c r="C46" s="21">
        <v>4.5599999999999996</v>
      </c>
      <c r="D46" s="21">
        <v>4.4000000000000004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4338</v>
      </c>
      <c r="C48" s="21">
        <v>4551</v>
      </c>
      <c r="D48" s="21">
        <v>4493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5.28</v>
      </c>
      <c r="C50" s="20">
        <v>5.67</v>
      </c>
      <c r="D50" s="20">
        <v>5.48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65.94</v>
      </c>
      <c r="C52" s="23">
        <v>72.67</v>
      </c>
      <c r="D52" s="23">
        <v>71.44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471</v>
      </c>
      <c r="C54" s="18">
        <v>491</v>
      </c>
      <c r="D54" s="18">
        <v>487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268</v>
      </c>
      <c r="C56" s="20">
        <v>280</v>
      </c>
      <c r="D56" s="20">
        <v>272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221</v>
      </c>
      <c r="C58" s="20">
        <v>235</v>
      </c>
      <c r="D58" s="20">
        <v>232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640</v>
      </c>
      <c r="C60" s="18">
        <v>675</v>
      </c>
      <c r="D60" s="18">
        <v>665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297</v>
      </c>
      <c r="C62" s="20">
        <v>323</v>
      </c>
      <c r="D62" s="20">
        <v>314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91</v>
      </c>
      <c r="C64" s="18">
        <v>96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457</v>
      </c>
      <c r="C66" s="23">
        <v>505</v>
      </c>
      <c r="D66" s="23">
        <v>486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171</v>
      </c>
      <c r="C68" s="20">
        <v>192</v>
      </c>
      <c r="D68" s="20">
        <v>189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172</v>
      </c>
      <c r="C70" s="19">
        <v>205</v>
      </c>
      <c r="D70" s="19">
        <v>195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85494</v>
      </c>
      <c r="C72" s="19">
        <v>89997</v>
      </c>
      <c r="D72" s="19">
        <v>87337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A1E4-F530-4AD8-9EBA-D36EEA2AAB9F}">
  <dimension ref="A1:D73"/>
  <sheetViews>
    <sheetView workbookViewId="0"/>
  </sheetViews>
  <sheetFormatPr defaultRowHeight="15" x14ac:dyDescent="0.25"/>
  <cols>
    <col min="1" max="1" width="41.140625" bestFit="1" customWidth="1"/>
    <col min="2" max="2" width="14.5703125" bestFit="1" customWidth="1"/>
    <col min="3" max="3" width="14.85546875" bestFit="1" customWidth="1"/>
    <col min="4" max="4" width="16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4.8499999999999996</v>
      </c>
      <c r="C2" s="20">
        <v>4.78</v>
      </c>
      <c r="D2" s="20">
        <v>4.8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4.0999999999999996</v>
      </c>
      <c r="D4" s="18">
        <v>4.1399999999999997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3.54</v>
      </c>
      <c r="C6" s="18">
        <v>3.46</v>
      </c>
      <c r="D6" s="18">
        <v>3.51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80.180000000000007</v>
      </c>
      <c r="C8" s="20">
        <v>80.790000000000006</v>
      </c>
      <c r="D8" s="20">
        <v>80.64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110.8</v>
      </c>
      <c r="D10" s="20">
        <v>110.7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6817</v>
      </c>
      <c r="C12" s="21">
        <v>6974</v>
      </c>
      <c r="D12" s="21">
        <v>6932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22711</v>
      </c>
      <c r="C14" s="24">
        <v>23799</v>
      </c>
      <c r="D14" s="24">
        <v>23613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2507</v>
      </c>
      <c r="C16" s="21">
        <v>2601</v>
      </c>
      <c r="D16" s="21">
        <v>2548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140</v>
      </c>
      <c r="C18" s="20">
        <v>149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152</v>
      </c>
      <c r="C20" s="20">
        <v>158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121</v>
      </c>
      <c r="C22" s="21">
        <v>124</v>
      </c>
      <c r="D22" s="21">
        <v>123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3856</v>
      </c>
      <c r="C24" s="24">
        <v>3995</v>
      </c>
      <c r="D24" s="24">
        <v>3963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49067</v>
      </c>
      <c r="C26" s="21">
        <v>51168</v>
      </c>
      <c r="D26" s="21">
        <v>50750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24021</v>
      </c>
      <c r="C28" s="21">
        <v>24474</v>
      </c>
      <c r="D28" s="21">
        <v>24340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12.96</v>
      </c>
      <c r="C30" s="18">
        <v>16.61</v>
      </c>
      <c r="D30" s="18">
        <v>13.47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97.61</v>
      </c>
      <c r="C32" s="25">
        <v>98.58</v>
      </c>
      <c r="D32" s="25">
        <v>98.04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1.1719999999999999</v>
      </c>
      <c r="C34" s="23">
        <v>1.1819999999999999</v>
      </c>
      <c r="D34" s="23">
        <v>1.1779999999999999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154.79</v>
      </c>
      <c r="C36" s="20">
        <v>157.83000000000001</v>
      </c>
      <c r="D36" s="20">
        <v>156.43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1.3360000000000001</v>
      </c>
      <c r="C38" s="20">
        <v>1.357</v>
      </c>
      <c r="D38" s="20">
        <v>1.349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0.72399999999999998</v>
      </c>
      <c r="C40" s="20">
        <v>0.73399999999999999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54.7</v>
      </c>
      <c r="C42" s="18">
        <v>59.21</v>
      </c>
      <c r="D42" s="18">
        <v>58.35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58.5</v>
      </c>
      <c r="C44" s="18">
        <v>63.24</v>
      </c>
      <c r="D44" s="18">
        <v>62.24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3.9</v>
      </c>
      <c r="C46" s="21">
        <v>4.54</v>
      </c>
      <c r="D46" s="21">
        <v>4.24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4380</v>
      </c>
      <c r="C48" s="21">
        <v>4534</v>
      </c>
      <c r="D48" s="21">
        <v>4513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5.39</v>
      </c>
      <c r="C50" s="20">
        <v>5.77</v>
      </c>
      <c r="D50" s="20">
        <v>5.5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66.98</v>
      </c>
      <c r="C52" s="23">
        <v>75.28</v>
      </c>
      <c r="D52" s="23">
        <v>71.94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470</v>
      </c>
      <c r="C54" s="18">
        <v>493</v>
      </c>
      <c r="D54" s="18">
        <v>488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268</v>
      </c>
      <c r="C56" s="20">
        <v>279</v>
      </c>
      <c r="D56" s="20">
        <v>274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222</v>
      </c>
      <c r="C58" s="20">
        <v>237</v>
      </c>
      <c r="D58" s="20">
        <v>232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643</v>
      </c>
      <c r="C60" s="18">
        <v>676</v>
      </c>
      <c r="D60" s="18">
        <v>668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298</v>
      </c>
      <c r="C62" s="20">
        <v>321</v>
      </c>
      <c r="D62" s="20">
        <v>314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91</v>
      </c>
      <c r="C64" s="18">
        <v>96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467</v>
      </c>
      <c r="C66" s="23">
        <v>503</v>
      </c>
      <c r="D66" s="23">
        <v>485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179</v>
      </c>
      <c r="C68" s="20">
        <v>193</v>
      </c>
      <c r="D68" s="20">
        <v>189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173</v>
      </c>
      <c r="C70" s="19">
        <v>204</v>
      </c>
      <c r="D70" s="19">
        <v>197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85661</v>
      </c>
      <c r="C72" s="28">
        <v>90606</v>
      </c>
      <c r="D72" s="28">
        <v>88664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4CD8-50D3-4977-A12E-4129089F7DF2}">
  <dimension ref="A1:D73"/>
  <sheetViews>
    <sheetView workbookViewId="0"/>
  </sheetViews>
  <sheetFormatPr defaultRowHeight="15" x14ac:dyDescent="0.25"/>
  <cols>
    <col min="1" max="1" width="41.140625" bestFit="1" customWidth="1"/>
    <col min="2" max="2" width="14.5703125" bestFit="1" customWidth="1"/>
    <col min="3" max="3" width="14.85546875" bestFit="1" customWidth="1"/>
    <col min="4" max="4" width="16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4.8499999999999996</v>
      </c>
      <c r="C2" s="20">
        <v>4.76</v>
      </c>
      <c r="D2" s="20">
        <v>4.83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4.18</v>
      </c>
      <c r="C4" s="18">
        <v>4.09</v>
      </c>
      <c r="D4" s="18">
        <v>4.1399999999999997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3.53</v>
      </c>
      <c r="C6" s="18">
        <v>3.44</v>
      </c>
      <c r="D6" s="18">
        <v>3.48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80.209999999999994</v>
      </c>
      <c r="C8" s="20">
        <v>80.819999999999993</v>
      </c>
      <c r="D8" s="20">
        <v>80.599999999999994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111.1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6826</v>
      </c>
      <c r="C12" s="21">
        <v>6986</v>
      </c>
      <c r="D12" s="21">
        <v>6929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22741</v>
      </c>
      <c r="C14" s="24">
        <v>23892</v>
      </c>
      <c r="D14" s="24">
        <v>23593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2504</v>
      </c>
      <c r="C16" s="21">
        <v>2577</v>
      </c>
      <c r="D16" s="21">
        <v>2534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140</v>
      </c>
      <c r="C18" s="20">
        <v>149</v>
      </c>
      <c r="D18" s="20">
        <v>147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152</v>
      </c>
      <c r="C20" s="20">
        <v>158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121</v>
      </c>
      <c r="C22" s="21">
        <v>124</v>
      </c>
      <c r="D22" s="21">
        <v>122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3858</v>
      </c>
      <c r="C24" s="24">
        <v>3999</v>
      </c>
      <c r="D24" s="24">
        <v>3965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49069</v>
      </c>
      <c r="C26" s="21">
        <v>51178</v>
      </c>
      <c r="D26" s="21">
        <v>50526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24019</v>
      </c>
      <c r="C28" s="21">
        <v>24471</v>
      </c>
      <c r="D28" s="21">
        <v>24340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12.18</v>
      </c>
      <c r="C30" s="18">
        <v>16.37</v>
      </c>
      <c r="D30" s="18">
        <v>13.6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97.64</v>
      </c>
      <c r="C32" s="25">
        <v>98.61</v>
      </c>
      <c r="D32" s="25">
        <v>98.14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</v>
      </c>
      <c r="C34" s="23">
        <v>1.1819999999999999</v>
      </c>
      <c r="D34" s="23">
        <v>1.1759999999999999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154.85</v>
      </c>
      <c r="C36" s="20">
        <v>157.76</v>
      </c>
      <c r="D36" s="20">
        <v>156.35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1.3360000000000001</v>
      </c>
      <c r="C38" s="20">
        <v>1.357</v>
      </c>
      <c r="D38" s="20">
        <v>1.3480000000000001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0.72499999999999998</v>
      </c>
      <c r="C40" s="20">
        <v>0.73499999999999999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55.18</v>
      </c>
      <c r="C42" s="18">
        <v>59.12</v>
      </c>
      <c r="D42" s="18">
        <v>56.9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58.51</v>
      </c>
      <c r="C44" s="18">
        <v>63.21</v>
      </c>
      <c r="D44" s="18">
        <v>60.85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3.94</v>
      </c>
      <c r="C46" s="21">
        <v>4.58</v>
      </c>
      <c r="D46" s="21">
        <v>4.4000000000000004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4392</v>
      </c>
      <c r="C48" s="21">
        <v>4565</v>
      </c>
      <c r="D48" s="21">
        <v>4462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5.42</v>
      </c>
      <c r="C50" s="20">
        <v>5.75</v>
      </c>
      <c r="D50" s="20">
        <v>5.61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68.709999999999994</v>
      </c>
      <c r="C52" s="23">
        <v>79.67</v>
      </c>
      <c r="D52" s="23">
        <v>79.13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471</v>
      </c>
      <c r="C54" s="18">
        <v>494</v>
      </c>
      <c r="D54" s="18">
        <v>488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269</v>
      </c>
      <c r="C56" s="20">
        <v>277</v>
      </c>
      <c r="D56" s="20">
        <v>273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221</v>
      </c>
      <c r="C58" s="20">
        <v>237</v>
      </c>
      <c r="D58" s="20">
        <v>233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644</v>
      </c>
      <c r="C60" s="18">
        <v>675</v>
      </c>
      <c r="D60" s="18">
        <v>663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296</v>
      </c>
      <c r="C62" s="20">
        <v>322</v>
      </c>
      <c r="D62" s="20">
        <v>314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91</v>
      </c>
      <c r="C64" s="18">
        <v>96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465</v>
      </c>
      <c r="C66" s="23">
        <v>500</v>
      </c>
      <c r="D66" s="23">
        <v>475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177</v>
      </c>
      <c r="C68" s="20">
        <v>193</v>
      </c>
      <c r="D68" s="20">
        <v>191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174</v>
      </c>
      <c r="C70" s="19">
        <v>204</v>
      </c>
      <c r="D70" s="19">
        <v>198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86012</v>
      </c>
      <c r="C72" s="28">
        <v>90001</v>
      </c>
      <c r="D72" s="28">
        <v>87302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B766-DE89-49EA-8800-902C88E93580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4.84</v>
      </c>
      <c r="C2" s="20">
        <v>4.76</v>
      </c>
      <c r="D2" s="20">
        <v>4.8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4.17</v>
      </c>
      <c r="C4" s="18">
        <v>4.07</v>
      </c>
      <c r="D4" s="18">
        <v>4.1100000000000003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3.52</v>
      </c>
      <c r="C6" s="18">
        <v>3.43</v>
      </c>
      <c r="D6" s="18">
        <v>3.44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80.290000000000006</v>
      </c>
      <c r="C8" s="20">
        <v>80.849999999999994</v>
      </c>
      <c r="D8" s="20">
        <v>80.63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111.2</v>
      </c>
      <c r="D10" s="20">
        <v>110.8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6831</v>
      </c>
      <c r="C12" s="21">
        <v>6998</v>
      </c>
      <c r="D12" s="21">
        <v>6905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22759</v>
      </c>
      <c r="C14" s="24">
        <v>23912</v>
      </c>
      <c r="D14" s="24">
        <v>23474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2501</v>
      </c>
      <c r="C16" s="21">
        <v>2587</v>
      </c>
      <c r="D16" s="21">
        <v>2519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141</v>
      </c>
      <c r="C18" s="20">
        <v>150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158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120</v>
      </c>
      <c r="C22" s="21">
        <v>124</v>
      </c>
      <c r="D22" s="21">
        <v>121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3861</v>
      </c>
      <c r="C24" s="24">
        <v>3996</v>
      </c>
      <c r="D24" s="24">
        <v>3965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49061</v>
      </c>
      <c r="C26" s="21">
        <v>51212</v>
      </c>
      <c r="D26" s="21">
        <v>50339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24022</v>
      </c>
      <c r="C28" s="21">
        <v>24472</v>
      </c>
      <c r="D28" s="21">
        <v>24351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12.11</v>
      </c>
      <c r="C30" s="18">
        <v>17.149999999999999</v>
      </c>
      <c r="D30" s="18">
        <v>14.2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97.57</v>
      </c>
      <c r="C32" s="25">
        <v>98.54</v>
      </c>
      <c r="D32" s="25">
        <v>98.08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</v>
      </c>
      <c r="C34" s="23">
        <v>1.1819999999999999</v>
      </c>
      <c r="D34" s="23">
        <v>1.1759999999999999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154.99</v>
      </c>
      <c r="C36" s="20">
        <v>157.68</v>
      </c>
      <c r="D36" s="20">
        <v>155.99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1.3380000000000001</v>
      </c>
      <c r="C38" s="20">
        <v>1.357</v>
      </c>
      <c r="D38" s="20">
        <v>1.35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0.72499999999999998</v>
      </c>
      <c r="C40" s="20">
        <v>0.73499999999999999</v>
      </c>
      <c r="D40" s="20">
        <v>0.72899999999999998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55.27</v>
      </c>
      <c r="C42" s="18">
        <v>59.19</v>
      </c>
      <c r="D42" s="18">
        <v>57.83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58.49</v>
      </c>
      <c r="C44" s="18">
        <v>63.08</v>
      </c>
      <c r="D44" s="18">
        <v>61.65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3.65</v>
      </c>
      <c r="C46" s="28">
        <v>4.41</v>
      </c>
      <c r="D46" s="28">
        <v>3.94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4286</v>
      </c>
      <c r="C48" s="21">
        <v>4551</v>
      </c>
      <c r="D48" s="21">
        <v>4392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5.33</v>
      </c>
      <c r="C50" s="20">
        <v>5.75</v>
      </c>
      <c r="D50" s="20">
        <v>5.51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69.78</v>
      </c>
      <c r="C52" s="23">
        <v>79.11</v>
      </c>
      <c r="D52" s="23">
        <v>72.150000000000006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473</v>
      </c>
      <c r="C54" s="18">
        <v>493</v>
      </c>
      <c r="D54" s="18">
        <v>487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278</v>
      </c>
      <c r="D56" s="20">
        <v>274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222</v>
      </c>
      <c r="C58" s="20">
        <v>238</v>
      </c>
      <c r="D58" s="20">
        <v>232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646</v>
      </c>
      <c r="C60" s="18">
        <v>673</v>
      </c>
      <c r="D60" s="18">
        <v>659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297</v>
      </c>
      <c r="C62" s="20">
        <v>323</v>
      </c>
      <c r="D62" s="20">
        <v>314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92</v>
      </c>
      <c r="C64" s="18">
        <v>96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456</v>
      </c>
      <c r="C66" s="23">
        <v>501</v>
      </c>
      <c r="D66" s="23">
        <v>460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179</v>
      </c>
      <c r="C68" s="20">
        <v>197</v>
      </c>
      <c r="D68" s="20">
        <v>188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174</v>
      </c>
      <c r="C70" s="19">
        <v>203</v>
      </c>
      <c r="D70" s="19">
        <v>195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86201</v>
      </c>
      <c r="C72" s="28">
        <v>88903</v>
      </c>
      <c r="D72" s="28">
        <v>87937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8026-6D1C-47E4-B533-E843A315C581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4.83</v>
      </c>
      <c r="C2" s="20">
        <v>4.75</v>
      </c>
      <c r="D2" s="20">
        <v>4.8099999999999996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4.18</v>
      </c>
      <c r="C4" s="18">
        <v>4.09</v>
      </c>
      <c r="D4" s="18">
        <v>4.13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3.51</v>
      </c>
      <c r="C6" s="18">
        <v>3.42</v>
      </c>
      <c r="D6" s="18">
        <v>3.46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80.31</v>
      </c>
      <c r="C8" s="20">
        <v>80.89</v>
      </c>
      <c r="D8" s="20">
        <v>80.709999999999994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110.1</v>
      </c>
      <c r="C10" s="20">
        <v>111.3</v>
      </c>
      <c r="D10" s="20">
        <v>110.7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6836</v>
      </c>
      <c r="C12" s="21">
        <v>7011</v>
      </c>
      <c r="D12" s="21">
        <v>6896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22796</v>
      </c>
      <c r="C14" s="24">
        <v>23941</v>
      </c>
      <c r="D14" s="24">
        <v>23419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2485</v>
      </c>
      <c r="C16" s="21">
        <v>2590</v>
      </c>
      <c r="D16" s="21">
        <v>2500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141</v>
      </c>
      <c r="C18" s="20">
        <v>149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158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119</v>
      </c>
      <c r="C22" s="21">
        <v>123</v>
      </c>
      <c r="D22" s="21">
        <v>120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3875</v>
      </c>
      <c r="C24" s="24">
        <v>3999</v>
      </c>
      <c r="D24" s="24">
        <v>3968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49145</v>
      </c>
      <c r="C26" s="21">
        <v>51261</v>
      </c>
      <c r="D26" s="21">
        <v>50339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24074</v>
      </c>
      <c r="C28" s="21">
        <v>24561</v>
      </c>
      <c r="D28" s="21">
        <v>24490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12</v>
      </c>
      <c r="C30" s="18">
        <v>16.29</v>
      </c>
      <c r="D30" s="18">
        <v>14.33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97.63</v>
      </c>
      <c r="C32" s="25">
        <v>98.6</v>
      </c>
      <c r="D32" s="25">
        <v>98.22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</v>
      </c>
      <c r="C34" s="23">
        <v>1.1819999999999999</v>
      </c>
      <c r="D34" s="23">
        <v>1.175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155.13999999999999</v>
      </c>
      <c r="C36" s="20">
        <v>157.71</v>
      </c>
      <c r="D36" s="20">
        <v>156.61000000000001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1.337</v>
      </c>
      <c r="C38" s="20">
        <v>1.3560000000000001</v>
      </c>
      <c r="D38" s="20">
        <v>1.3460000000000001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0.72399999999999998</v>
      </c>
      <c r="C40" s="20">
        <v>0.73499999999999999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55.51</v>
      </c>
      <c r="C42" s="18">
        <v>59.35</v>
      </c>
      <c r="D42" s="18">
        <v>57.95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59.3</v>
      </c>
      <c r="C44" s="18">
        <v>63.1</v>
      </c>
      <c r="D44" s="18">
        <v>61.35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3.62</v>
      </c>
      <c r="C46" s="19">
        <v>4.2300000000000004</v>
      </c>
      <c r="D46" s="19">
        <v>3.97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4288</v>
      </c>
      <c r="C48" s="21">
        <v>4566</v>
      </c>
      <c r="D48" s="21">
        <v>4310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5.36</v>
      </c>
      <c r="C50" s="20">
        <v>5.78</v>
      </c>
      <c r="D50" s="20">
        <v>5.7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70.12</v>
      </c>
      <c r="C52" s="23">
        <v>79.66</v>
      </c>
      <c r="D52" s="23">
        <v>75.819999999999993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474</v>
      </c>
      <c r="C54" s="18">
        <v>492</v>
      </c>
      <c r="D54" s="18">
        <v>487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277</v>
      </c>
      <c r="D56" s="20">
        <v>273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223</v>
      </c>
      <c r="C58" s="20">
        <v>237</v>
      </c>
      <c r="D58" s="20">
        <v>233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649</v>
      </c>
      <c r="C60" s="18">
        <v>674</v>
      </c>
      <c r="D60" s="18">
        <v>666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300</v>
      </c>
      <c r="C62" s="20">
        <v>323</v>
      </c>
      <c r="D62" s="20">
        <v>314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92</v>
      </c>
      <c r="C64" s="18">
        <v>95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450</v>
      </c>
      <c r="C66" s="23">
        <v>489</v>
      </c>
      <c r="D66" s="23">
        <v>454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181</v>
      </c>
      <c r="C68" s="20">
        <v>198</v>
      </c>
      <c r="D68" s="20">
        <v>188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175</v>
      </c>
      <c r="C70" s="19">
        <v>204</v>
      </c>
      <c r="D70" s="19">
        <v>197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86713</v>
      </c>
      <c r="C72" s="28">
        <v>89150</v>
      </c>
      <c r="D72" s="28">
        <v>88863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AA18-6358-4B7B-8184-2C4A4F1400D7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4.87</v>
      </c>
      <c r="C2" s="20">
        <v>4.78</v>
      </c>
      <c r="D2" s="20">
        <v>4.8499999999999996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4.09</v>
      </c>
      <c r="D4" s="18">
        <v>4.17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3.52</v>
      </c>
      <c r="C6" s="18">
        <v>3.43</v>
      </c>
      <c r="D6" s="18">
        <v>3.48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80.34</v>
      </c>
      <c r="C8" s="20">
        <v>80.88</v>
      </c>
      <c r="D8" s="20">
        <v>80.63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111.1</v>
      </c>
      <c r="D10" s="20">
        <v>110.2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6791</v>
      </c>
      <c r="C12" s="21">
        <v>6986</v>
      </c>
      <c r="D12" s="21">
        <v>6845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23007</v>
      </c>
      <c r="C14" s="24">
        <v>23792</v>
      </c>
      <c r="D14" s="24">
        <v>23241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2466</v>
      </c>
      <c r="C16" s="21">
        <v>2588</v>
      </c>
      <c r="D16" s="21">
        <v>2481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141</v>
      </c>
      <c r="C18" s="20">
        <v>148</v>
      </c>
      <c r="D18" s="20">
        <v>144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157</v>
      </c>
      <c r="D20" s="20">
        <v>155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118</v>
      </c>
      <c r="C22" s="21">
        <v>123</v>
      </c>
      <c r="D22" s="21">
        <v>119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3875</v>
      </c>
      <c r="C24" s="24">
        <v>3999</v>
      </c>
      <c r="D24" s="24">
        <v>3968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49145</v>
      </c>
      <c r="C26" s="21">
        <v>51261</v>
      </c>
      <c r="D26" s="21">
        <v>50339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24084</v>
      </c>
      <c r="C28" s="21">
        <v>24621</v>
      </c>
      <c r="D28" s="21">
        <v>24490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12.45</v>
      </c>
      <c r="C30" s="18">
        <v>17.11</v>
      </c>
      <c r="D30" s="18">
        <v>14.95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97.67</v>
      </c>
      <c r="C32" s="25">
        <v>98.75</v>
      </c>
      <c r="D32" s="25">
        <v>98.45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</v>
      </c>
      <c r="C34" s="23">
        <v>1.181</v>
      </c>
      <c r="D34" s="23">
        <v>1.1719999999999999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155.46</v>
      </c>
      <c r="C36" s="20">
        <v>157.6</v>
      </c>
      <c r="D36" s="20">
        <v>156.97999999999999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1.3380000000000001</v>
      </c>
      <c r="C38" s="20">
        <v>1.3540000000000001</v>
      </c>
      <c r="D38" s="20">
        <v>1.3440000000000001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0.72599999999999998</v>
      </c>
      <c r="C40" s="20">
        <v>0.73399999999999999</v>
      </c>
      <c r="D40" s="20">
        <v>0.72799999999999998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55.66</v>
      </c>
      <c r="C42" s="18">
        <v>58.78</v>
      </c>
      <c r="D42" s="18">
        <v>57.42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59.4</v>
      </c>
      <c r="C44" s="18">
        <v>62.48</v>
      </c>
      <c r="D44" s="18">
        <v>60.85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3.51</v>
      </c>
      <c r="C46" s="19">
        <v>4.1900000000000004</v>
      </c>
      <c r="D46" s="19">
        <v>3.69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4291</v>
      </c>
      <c r="C48" s="21">
        <v>4567</v>
      </c>
      <c r="D48" s="21">
        <v>4322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5.37</v>
      </c>
      <c r="C50" s="20">
        <v>5.81</v>
      </c>
      <c r="D50" s="20">
        <v>5.64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68.989999999999995</v>
      </c>
      <c r="C52" s="23">
        <v>79.78</v>
      </c>
      <c r="D52" s="23">
        <v>71.260000000000005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479</v>
      </c>
      <c r="C54" s="18">
        <v>490</v>
      </c>
      <c r="D54" s="18">
        <v>484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276</v>
      </c>
      <c r="D56" s="20">
        <v>272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225</v>
      </c>
      <c r="C58" s="20">
        <v>236</v>
      </c>
      <c r="D58" s="20">
        <v>231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652</v>
      </c>
      <c r="C60" s="18">
        <v>674</v>
      </c>
      <c r="D60" s="18">
        <v>660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301</v>
      </c>
      <c r="C62" s="20">
        <v>323</v>
      </c>
      <c r="D62" s="20">
        <v>313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92</v>
      </c>
      <c r="C64" s="18">
        <v>95</v>
      </c>
      <c r="D64" s="18">
        <v>94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445</v>
      </c>
      <c r="C66" s="23">
        <v>489</v>
      </c>
      <c r="D66" s="23">
        <v>450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180</v>
      </c>
      <c r="C68" s="20">
        <v>196</v>
      </c>
      <c r="D68" s="20">
        <v>187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180</v>
      </c>
      <c r="C70" s="19">
        <v>205</v>
      </c>
      <c r="D70" s="19">
        <v>195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86609</v>
      </c>
      <c r="C72" s="28">
        <v>90501</v>
      </c>
      <c r="D72" s="28">
        <v>89383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6041-F62C-49EA-B329-E71A50E5E2D4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4.8899999999999997</v>
      </c>
      <c r="C2" s="20">
        <v>4.79</v>
      </c>
      <c r="D2" s="20">
        <v>4.88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4.21</v>
      </c>
      <c r="C4" s="18">
        <v>4.09</v>
      </c>
      <c r="D4" s="18">
        <v>4.2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3.53</v>
      </c>
      <c r="C6" s="18">
        <v>3.43</v>
      </c>
      <c r="D6" s="18">
        <v>3.49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80.37</v>
      </c>
      <c r="C8" s="20">
        <v>80.89</v>
      </c>
      <c r="D8" s="20">
        <v>80.67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111</v>
      </c>
      <c r="D10" s="20">
        <v>110.2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6802</v>
      </c>
      <c r="C12" s="21">
        <v>6966</v>
      </c>
      <c r="D12" s="21">
        <v>6858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23017</v>
      </c>
      <c r="C14" s="24">
        <v>23723</v>
      </c>
      <c r="D14" s="24">
        <v>23235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2485</v>
      </c>
      <c r="C16" s="21">
        <v>2581</v>
      </c>
      <c r="D16" s="21">
        <v>2508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148</v>
      </c>
      <c r="D18" s="20">
        <v>144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157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117</v>
      </c>
      <c r="C22" s="21">
        <v>122</v>
      </c>
      <c r="D22" s="21">
        <v>118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3898</v>
      </c>
      <c r="C24" s="24">
        <v>4033</v>
      </c>
      <c r="D24" s="24">
        <v>4023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49155</v>
      </c>
      <c r="C26" s="21">
        <v>52002</v>
      </c>
      <c r="D26" s="21">
        <v>51832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24118</v>
      </c>
      <c r="C28" s="21">
        <v>24817</v>
      </c>
      <c r="D28" s="21">
        <v>24539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13.06</v>
      </c>
      <c r="C30" s="18">
        <v>15.92</v>
      </c>
      <c r="D30" s="18">
        <v>14.51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97.7</v>
      </c>
      <c r="C32" s="25">
        <v>98.79</v>
      </c>
      <c r="D32" s="25">
        <v>98.6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1.167</v>
      </c>
      <c r="C34" s="23">
        <v>1.18</v>
      </c>
      <c r="D34" s="23">
        <v>1.1679999999999999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155.61000000000001</v>
      </c>
      <c r="C36" s="20">
        <v>157.66</v>
      </c>
      <c r="D36" s="20">
        <v>156.62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1.339</v>
      </c>
      <c r="C38" s="20">
        <v>1.353</v>
      </c>
      <c r="D38" s="20">
        <v>1.347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0.72399999999999998</v>
      </c>
      <c r="C40" s="20">
        <v>0.73299999999999998</v>
      </c>
      <c r="D40" s="20">
        <v>0.72599999999999998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56.06</v>
      </c>
      <c r="C42" s="18">
        <v>58.99</v>
      </c>
      <c r="D42" s="18">
        <v>57.32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59.69</v>
      </c>
      <c r="C44" s="18">
        <v>62.49</v>
      </c>
      <c r="D44" s="18">
        <v>60.79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3.32</v>
      </c>
      <c r="C46" s="19">
        <v>4.1500000000000004</v>
      </c>
      <c r="D46" s="19">
        <v>3.64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4296</v>
      </c>
      <c r="C48" s="21">
        <v>4567</v>
      </c>
      <c r="D48" s="21">
        <v>4413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5.47</v>
      </c>
      <c r="C50" s="20">
        <v>5.89</v>
      </c>
      <c r="D50" s="20">
        <v>5.65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70.61</v>
      </c>
      <c r="C52" s="23">
        <v>79.209999999999994</v>
      </c>
      <c r="D52" s="23">
        <v>72.25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470</v>
      </c>
      <c r="C54" s="18">
        <v>485</v>
      </c>
      <c r="D54" s="18">
        <v>473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270</v>
      </c>
      <c r="C56" s="20">
        <v>276</v>
      </c>
      <c r="D56" s="20">
        <v>271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224</v>
      </c>
      <c r="C58" s="20">
        <v>236</v>
      </c>
      <c r="D58" s="20">
        <v>227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648</v>
      </c>
      <c r="C60" s="18">
        <v>667</v>
      </c>
      <c r="D60" s="18">
        <v>650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305</v>
      </c>
      <c r="C62" s="20">
        <v>323</v>
      </c>
      <c r="D62" s="20">
        <v>315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89</v>
      </c>
      <c r="C64" s="18">
        <v>94</v>
      </c>
      <c r="D64" s="18">
        <v>91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431</v>
      </c>
      <c r="C66" s="23">
        <v>488</v>
      </c>
      <c r="D66" s="23">
        <v>438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180</v>
      </c>
      <c r="C68" s="20">
        <v>196</v>
      </c>
      <c r="D68" s="20">
        <v>189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181</v>
      </c>
      <c r="C70" s="19">
        <v>196</v>
      </c>
      <c r="D70" s="19">
        <v>196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87501</v>
      </c>
      <c r="C72" s="28">
        <v>93158</v>
      </c>
      <c r="D72" s="28">
        <v>92851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3479-7EB6-4B33-A954-8607CCC736BB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4.9000000000000004</v>
      </c>
      <c r="C2" s="20">
        <v>4.8</v>
      </c>
      <c r="D2" s="20">
        <v>4.8600000000000003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4.09</v>
      </c>
      <c r="D4" s="18">
        <v>4.17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</v>
      </c>
      <c r="C6" s="18">
        <v>3.41</v>
      </c>
      <c r="D6" s="18">
        <v>3.46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80.41</v>
      </c>
      <c r="C8" s="20">
        <v>80.91</v>
      </c>
      <c r="D8" s="20">
        <v>80.88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109.7</v>
      </c>
      <c r="C10" s="20">
        <v>111</v>
      </c>
      <c r="D10" s="20">
        <v>110.5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6832</v>
      </c>
      <c r="C12" s="21">
        <v>6971</v>
      </c>
      <c r="D12" s="21">
        <v>6902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23119</v>
      </c>
      <c r="C14" s="24">
        <v>23801</v>
      </c>
      <c r="D14" s="24">
        <v>23395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2491</v>
      </c>
      <c r="C16" s="21">
        <v>2595</v>
      </c>
      <c r="D16" s="21">
        <v>2547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148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157</v>
      </c>
      <c r="D20" s="20">
        <v>155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111</v>
      </c>
      <c r="B22" s="21">
        <v>118</v>
      </c>
      <c r="C22" s="21">
        <v>124</v>
      </c>
      <c r="D22" s="21">
        <v>120</v>
      </c>
    </row>
    <row r="23" spans="1:4" ht="15.75" thickBot="1" x14ac:dyDescent="0.3">
      <c r="A23" s="4" t="s">
        <v>112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3928</v>
      </c>
      <c r="C24" s="24">
        <v>4098</v>
      </c>
      <c r="D24" s="24">
        <v>4083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50198</v>
      </c>
      <c r="C26" s="21">
        <v>52611</v>
      </c>
      <c r="D26" s="21">
        <v>52518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24172</v>
      </c>
      <c r="C28" s="21">
        <v>24908</v>
      </c>
      <c r="D28" s="21">
        <v>24868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13.06</v>
      </c>
      <c r="C30" s="18">
        <v>15.84</v>
      </c>
      <c r="D30" s="18">
        <v>14.9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97.81</v>
      </c>
      <c r="C32" s="25">
        <v>98.63</v>
      </c>
      <c r="D32" s="25">
        <v>98.41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1.1679999999999999</v>
      </c>
      <c r="C34" s="23">
        <v>1.179</v>
      </c>
      <c r="D34" s="23">
        <v>1.171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155.6</v>
      </c>
      <c r="C36" s="20">
        <v>157.6</v>
      </c>
      <c r="D36" s="20">
        <v>156.37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1.3420000000000001</v>
      </c>
      <c r="C38" s="20">
        <v>1.3560000000000001</v>
      </c>
      <c r="D38" s="20">
        <v>1.3520000000000001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0.72499999999999998</v>
      </c>
      <c r="C40" s="20">
        <v>0.73399999999999999</v>
      </c>
      <c r="D40" s="20">
        <v>0.72599999999999998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56.48</v>
      </c>
      <c r="C42" s="18">
        <v>59.12</v>
      </c>
      <c r="D42" s="18">
        <v>58.35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60.16</v>
      </c>
      <c r="C44" s="18">
        <v>62.95</v>
      </c>
      <c r="D44" s="18">
        <v>61.79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3.3</v>
      </c>
      <c r="C46" s="19">
        <v>4.1399999999999997</v>
      </c>
      <c r="D46" s="19">
        <v>3.52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4306</v>
      </c>
      <c r="C48" s="21">
        <v>4576</v>
      </c>
      <c r="D48" s="21">
        <v>4463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5.52</v>
      </c>
      <c r="C50" s="20">
        <v>5.98</v>
      </c>
      <c r="D50" s="20">
        <v>5.93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73.349999999999994</v>
      </c>
      <c r="C52" s="23">
        <v>79.489999999999995</v>
      </c>
      <c r="D52" s="23">
        <v>76.09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470</v>
      </c>
      <c r="C54" s="18">
        <v>484</v>
      </c>
      <c r="D54" s="18">
        <v>473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0" t="s">
        <v>65</v>
      </c>
      <c r="B56" s="20">
        <v>265</v>
      </c>
      <c r="C56" s="20">
        <v>277</v>
      </c>
      <c r="D56" s="20">
        <v>267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226</v>
      </c>
      <c r="C58" s="20">
        <v>238</v>
      </c>
      <c r="D58" s="20">
        <v>233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648</v>
      </c>
      <c r="C60" s="18">
        <v>671</v>
      </c>
      <c r="D60" s="18">
        <v>659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308</v>
      </c>
      <c r="C62" s="20">
        <v>324</v>
      </c>
      <c r="D62" s="20">
        <v>317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88</v>
      </c>
      <c r="C64" s="18">
        <v>93</v>
      </c>
      <c r="D64" s="18">
        <v>91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431</v>
      </c>
      <c r="C66" s="23">
        <v>490</v>
      </c>
      <c r="D66" s="23">
        <v>452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182</v>
      </c>
      <c r="C68" s="20">
        <v>195</v>
      </c>
      <c r="D68" s="20">
        <v>188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186</v>
      </c>
      <c r="C70" s="19">
        <v>199</v>
      </c>
      <c r="D70" s="19">
        <v>193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89102</v>
      </c>
      <c r="C72" s="28">
        <v>94998</v>
      </c>
      <c r="D72" s="28">
        <v>93857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557B-F2B5-41EC-9F87-0ADE987DE246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4.91</v>
      </c>
      <c r="C2" s="20">
        <v>4.8</v>
      </c>
      <c r="D2" s="20">
        <v>4.87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4.09</v>
      </c>
      <c r="D4" s="18">
        <v>4.17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</v>
      </c>
      <c r="C6" s="18">
        <v>3.41</v>
      </c>
      <c r="D6" s="18">
        <v>3.47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80.47</v>
      </c>
      <c r="C8" s="20">
        <v>80.989999999999995</v>
      </c>
      <c r="D8" s="20">
        <v>80.900000000000006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111.1</v>
      </c>
      <c r="D10" s="20">
        <v>110.5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6850</v>
      </c>
      <c r="C12" s="21">
        <v>6984</v>
      </c>
      <c r="D12" s="21">
        <v>6944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23201</v>
      </c>
      <c r="C14" s="24">
        <v>23822</v>
      </c>
      <c r="D14" s="24">
        <v>23547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2515</v>
      </c>
      <c r="C16" s="21">
        <v>2601</v>
      </c>
      <c r="D16" s="21">
        <v>2582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148</v>
      </c>
      <c r="D18" s="20">
        <v>147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154</v>
      </c>
      <c r="C20" s="20">
        <v>159</v>
      </c>
      <c r="D20" s="20">
        <v>158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156</v>
      </c>
      <c r="C22" s="21">
        <v>164</v>
      </c>
      <c r="D22" s="21">
        <v>162.02000000000001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3939</v>
      </c>
      <c r="C24" s="24">
        <v>4093</v>
      </c>
      <c r="D24" s="24">
        <v>4085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50316</v>
      </c>
      <c r="C26" s="21">
        <v>52608</v>
      </c>
      <c r="D26" s="21">
        <v>51961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24215</v>
      </c>
      <c r="C28" s="21">
        <v>25049</v>
      </c>
      <c r="D28" s="21">
        <v>24892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13.09</v>
      </c>
      <c r="C30" s="18">
        <v>15.74</v>
      </c>
      <c r="D30" s="18">
        <v>14.75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97.97</v>
      </c>
      <c r="C32" s="27">
        <v>98.75</v>
      </c>
      <c r="D32" s="27">
        <v>98.61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7" t="s">
        <v>98</v>
      </c>
      <c r="B34" s="27">
        <v>1.1659999999999999</v>
      </c>
      <c r="C34" s="27">
        <v>1.1759999999999999</v>
      </c>
      <c r="D34" s="27">
        <v>1.1679999999999999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155.9</v>
      </c>
      <c r="C36" s="20">
        <v>157.21</v>
      </c>
      <c r="D36" s="20">
        <v>156.54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1.343</v>
      </c>
      <c r="C38" s="20">
        <v>1.3540000000000001</v>
      </c>
      <c r="D38" s="20">
        <v>1.349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0.72299999999999998</v>
      </c>
      <c r="C40" s="20">
        <v>0.73399999999999999</v>
      </c>
      <c r="D40" s="20">
        <v>0.72399999999999998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55.67</v>
      </c>
      <c r="C42" s="18">
        <v>58.32</v>
      </c>
      <c r="D42" s="18">
        <v>56.97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59.83</v>
      </c>
      <c r="C44" s="18">
        <v>61.96</v>
      </c>
      <c r="D44" s="18">
        <v>60.53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3.25</v>
      </c>
      <c r="C46" s="19">
        <v>4.05</v>
      </c>
      <c r="D46" s="19">
        <v>3.42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4319</v>
      </c>
      <c r="C48" s="21">
        <v>4590</v>
      </c>
      <c r="D48" s="21">
        <v>4453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5.59</v>
      </c>
      <c r="C50" s="20">
        <v>6.05</v>
      </c>
      <c r="D50" s="20">
        <v>6.01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74.48</v>
      </c>
      <c r="C52" s="23">
        <v>81.97</v>
      </c>
      <c r="D52" s="23">
        <v>81.44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469</v>
      </c>
      <c r="C54" s="18">
        <v>486</v>
      </c>
      <c r="D54" s="18">
        <v>479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26" t="s">
        <v>120</v>
      </c>
      <c r="B56" s="26">
        <v>260</v>
      </c>
      <c r="C56" s="26">
        <v>273</v>
      </c>
      <c r="D56" s="26">
        <v>262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229</v>
      </c>
      <c r="C58" s="20">
        <v>243</v>
      </c>
      <c r="D58" s="20">
        <v>241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649</v>
      </c>
      <c r="C60" s="18">
        <v>672</v>
      </c>
      <c r="D60" s="18">
        <v>661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310</v>
      </c>
      <c r="C62" s="20">
        <v>321</v>
      </c>
      <c r="D62" s="20">
        <v>314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88</v>
      </c>
      <c r="C64" s="18">
        <v>93</v>
      </c>
      <c r="D64" s="18">
        <v>91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7" t="s">
        <v>91</v>
      </c>
      <c r="B66" s="27">
        <v>421</v>
      </c>
      <c r="C66" s="27">
        <v>459</v>
      </c>
      <c r="D66" s="27">
        <v>433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183</v>
      </c>
      <c r="C68" s="20">
        <v>194</v>
      </c>
      <c r="D68" s="20">
        <v>187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189</v>
      </c>
      <c r="C70" s="19">
        <v>199</v>
      </c>
      <c r="D70" s="19">
        <v>194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87422</v>
      </c>
      <c r="C72" s="28">
        <v>94924</v>
      </c>
      <c r="D72" s="28">
        <v>91947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B211-9FA6-4F1A-8194-89A50C759DD9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4.91</v>
      </c>
      <c r="C2" s="20">
        <v>4.8099999999999996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</v>
      </c>
      <c r="C4" s="18">
        <v>4.0999999999999996</v>
      </c>
      <c r="D4" s="18">
        <v>4.16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</v>
      </c>
      <c r="C6" s="18">
        <v>3.43</v>
      </c>
      <c r="D6" s="18">
        <v>3.48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80.510000000000005</v>
      </c>
      <c r="C8" s="20">
        <v>81.03</v>
      </c>
      <c r="D8" s="20">
        <v>80.88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111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6855</v>
      </c>
      <c r="C12" s="21">
        <v>6977</v>
      </c>
      <c r="D12" s="21">
        <v>6920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23192</v>
      </c>
      <c r="C14" s="24">
        <v>23749</v>
      </c>
      <c r="D14" s="24">
        <v>23584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2526</v>
      </c>
      <c r="C16" s="21">
        <v>2603</v>
      </c>
      <c r="D16" s="21">
        <v>2575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148</v>
      </c>
      <c r="D18" s="20">
        <v>147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161</v>
      </c>
      <c r="D20" s="20">
        <v>160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156</v>
      </c>
      <c r="C22" s="21">
        <v>163</v>
      </c>
      <c r="D22" s="21">
        <v>158.97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3950</v>
      </c>
      <c r="C24" s="24">
        <v>4101</v>
      </c>
      <c r="D24" s="24">
        <v>4082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50494</v>
      </c>
      <c r="C26" s="21">
        <v>52631</v>
      </c>
      <c r="D26" s="21">
        <v>51117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24280</v>
      </c>
      <c r="C28" s="21">
        <v>25199</v>
      </c>
      <c r="D28" s="21">
        <v>25122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13.17</v>
      </c>
      <c r="C30" s="18">
        <v>15.93</v>
      </c>
      <c r="D30" s="18">
        <v>15.38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97.99</v>
      </c>
      <c r="C32" s="27">
        <v>98.98</v>
      </c>
      <c r="D32" s="27">
        <v>98.79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7" t="s">
        <v>98</v>
      </c>
      <c r="B34" s="27">
        <v>1.1639999999999999</v>
      </c>
      <c r="C34" s="27">
        <v>1.1739999999999999</v>
      </c>
      <c r="D34" s="27">
        <v>1.167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155.91</v>
      </c>
      <c r="C36" s="20">
        <v>157.27000000000001</v>
      </c>
      <c r="D36" s="20">
        <v>156.72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1.3420000000000001</v>
      </c>
      <c r="C38" s="20">
        <v>1.353</v>
      </c>
      <c r="D38" s="20">
        <v>1.3440000000000001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</v>
      </c>
      <c r="C40" s="20">
        <v>0.73399999999999999</v>
      </c>
      <c r="D40" s="20">
        <v>0.72099999999999997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56.01</v>
      </c>
      <c r="C42" s="18">
        <v>57.92</v>
      </c>
      <c r="D42" s="18">
        <v>56.4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59.8</v>
      </c>
      <c r="C44" s="18">
        <v>61.77</v>
      </c>
      <c r="D44" s="18">
        <v>60.34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3.22</v>
      </c>
      <c r="C46" s="19">
        <v>4.01</v>
      </c>
      <c r="D46" s="19">
        <v>3.56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4329</v>
      </c>
      <c r="C48" s="21">
        <v>4585</v>
      </c>
      <c r="D48" s="21">
        <v>4422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5.53</v>
      </c>
      <c r="C50" s="20">
        <v>6.06</v>
      </c>
      <c r="D50" s="20">
        <v>5.8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74.540000000000006</v>
      </c>
      <c r="C52" s="23">
        <v>82.75</v>
      </c>
      <c r="D52" s="23">
        <v>78.28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469</v>
      </c>
      <c r="C54" s="18">
        <v>488</v>
      </c>
      <c r="D54" s="18">
        <v>483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257</v>
      </c>
      <c r="C56" s="18">
        <v>269</v>
      </c>
      <c r="D56" s="18">
        <v>260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232</v>
      </c>
      <c r="C58" s="20">
        <v>244</v>
      </c>
      <c r="D58" s="20">
        <v>242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645</v>
      </c>
      <c r="C60" s="18">
        <v>667</v>
      </c>
      <c r="D60" s="18">
        <v>649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311</v>
      </c>
      <c r="C62" s="20">
        <v>323</v>
      </c>
      <c r="D62" s="20">
        <v>322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88</v>
      </c>
      <c r="C64" s="18">
        <v>96</v>
      </c>
      <c r="D64" s="18">
        <v>91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416</v>
      </c>
      <c r="C66" s="25">
        <v>453</v>
      </c>
      <c r="D66" s="25">
        <v>431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185</v>
      </c>
      <c r="C68" s="20">
        <v>193</v>
      </c>
      <c r="D68" s="20">
        <v>189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189</v>
      </c>
      <c r="C70" s="19">
        <v>199</v>
      </c>
      <c r="D70" s="19">
        <v>193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86991</v>
      </c>
      <c r="C72" s="28">
        <v>94852</v>
      </c>
      <c r="D72" s="28">
        <v>89804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27D7-DD14-49E7-8650-7BD0A43C88B6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4.92</v>
      </c>
      <c r="C2" s="20">
        <v>4.82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4.22</v>
      </c>
      <c r="C4" s="18">
        <v>4.0999999999999996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3.52</v>
      </c>
      <c r="C6" s="18">
        <v>3.43</v>
      </c>
      <c r="D6" s="18">
        <v>3.49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80.55</v>
      </c>
      <c r="C8" s="20">
        <v>81.09</v>
      </c>
      <c r="D8" s="20">
        <v>80.94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110.9</v>
      </c>
      <c r="D10" s="20">
        <v>110.2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6861</v>
      </c>
      <c r="C12" s="21">
        <v>6984</v>
      </c>
      <c r="D12" s="21">
        <v>6921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23200</v>
      </c>
      <c r="C14" s="24">
        <v>23782</v>
      </c>
      <c r="D14" s="24">
        <v>23480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2553</v>
      </c>
      <c r="C16" s="21">
        <v>2626</v>
      </c>
      <c r="D16" s="21">
        <v>2603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147</v>
      </c>
      <c r="D18" s="20">
        <v>144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160</v>
      </c>
      <c r="D20" s="20">
        <v>158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157</v>
      </c>
      <c r="C22" s="21">
        <v>164</v>
      </c>
      <c r="D22" s="21">
        <v>160.16999999999999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4010</v>
      </c>
      <c r="C24" s="24">
        <v>4131</v>
      </c>
      <c r="D24" s="24">
        <v>4120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50522</v>
      </c>
      <c r="C26" s="21">
        <v>52643</v>
      </c>
      <c r="D26" s="21">
        <v>51939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24340</v>
      </c>
      <c r="C28" s="21">
        <v>25314</v>
      </c>
      <c r="D28" s="21">
        <v>25127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13.37</v>
      </c>
      <c r="C30" s="18">
        <v>15.98</v>
      </c>
      <c r="D30" s="18">
        <v>15.45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97.99</v>
      </c>
      <c r="C32" s="23">
        <v>99.21</v>
      </c>
      <c r="D32" s="23">
        <v>99.07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1.161</v>
      </c>
      <c r="C34" s="25">
        <v>1.1719999999999999</v>
      </c>
      <c r="D34" s="25">
        <v>1.1639999999999999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156.44999999999999</v>
      </c>
      <c r="C36" s="20">
        <v>157.96</v>
      </c>
      <c r="D36" s="20">
        <v>157.69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1.337</v>
      </c>
      <c r="C38" s="20">
        <v>1.353</v>
      </c>
      <c r="D38" s="20">
        <v>1.341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6" t="s">
        <v>105</v>
      </c>
      <c r="B40" s="26">
        <v>0.71699999999999997</v>
      </c>
      <c r="C40" s="26">
        <v>0.73199999999999998</v>
      </c>
      <c r="D40" s="26">
        <v>0.72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55.88</v>
      </c>
      <c r="C42" s="18">
        <v>58.99</v>
      </c>
      <c r="D42" s="18">
        <v>58.4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59.97</v>
      </c>
      <c r="C44" s="18">
        <v>62.98</v>
      </c>
      <c r="D44" s="18">
        <v>62.75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3.2</v>
      </c>
      <c r="C46" s="19">
        <v>3.97</v>
      </c>
      <c r="D46" s="19">
        <v>3.42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4340</v>
      </c>
      <c r="C48" s="21">
        <v>4582</v>
      </c>
      <c r="D48" s="21">
        <v>4466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5.56</v>
      </c>
      <c r="C50" s="20">
        <v>6.08</v>
      </c>
      <c r="D50" s="20">
        <v>5.75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74.97</v>
      </c>
      <c r="C52" s="23">
        <v>82.71</v>
      </c>
      <c r="D52" s="23">
        <v>76.959999999999994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468</v>
      </c>
      <c r="C54" s="18">
        <v>488</v>
      </c>
      <c r="D54" s="18">
        <v>478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254</v>
      </c>
      <c r="C56" s="18">
        <v>268</v>
      </c>
      <c r="D56" s="18">
        <v>259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234</v>
      </c>
      <c r="C58" s="20">
        <v>249</v>
      </c>
      <c r="D58" s="20">
        <v>246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641</v>
      </c>
      <c r="C60" s="18">
        <v>660</v>
      </c>
      <c r="D60" s="18">
        <v>646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311</v>
      </c>
      <c r="C62" s="20">
        <v>329</v>
      </c>
      <c r="D62" s="20">
        <v>325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88</v>
      </c>
      <c r="C64" s="18">
        <v>95</v>
      </c>
      <c r="D64" s="18">
        <v>91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418</v>
      </c>
      <c r="C66" s="25">
        <v>459</v>
      </c>
      <c r="D66" s="25">
        <v>436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183</v>
      </c>
      <c r="C68" s="20">
        <v>192</v>
      </c>
      <c r="D68" s="20">
        <v>185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186</v>
      </c>
      <c r="C70" s="19">
        <v>198</v>
      </c>
      <c r="D70" s="19">
        <v>190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88104</v>
      </c>
      <c r="C72" s="28">
        <v>94798</v>
      </c>
      <c r="D72" s="28">
        <v>90346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761D-F3E3-4001-AA8F-B13B251004BE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4.9000000000000004</v>
      </c>
      <c r="C2" s="20">
        <v>4.8099999999999996</v>
      </c>
      <c r="D2" s="20">
        <v>4.82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4.22</v>
      </c>
      <c r="C4" s="18">
        <v>4.0999999999999996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3.55</v>
      </c>
      <c r="C6" s="18">
        <v>3.43</v>
      </c>
      <c r="D6" s="18">
        <v>3.54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80.58</v>
      </c>
      <c r="C8" s="20">
        <v>81.11</v>
      </c>
      <c r="D8" s="20">
        <v>81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111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6867</v>
      </c>
      <c r="C12" s="21">
        <v>6990</v>
      </c>
      <c r="D12" s="21">
        <v>6966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23184</v>
      </c>
      <c r="C14" s="24">
        <v>23795</v>
      </c>
      <c r="D14" s="24">
        <v>23671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2537</v>
      </c>
      <c r="C16" s="21">
        <v>2645</v>
      </c>
      <c r="D16" s="21">
        <v>2624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147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154</v>
      </c>
      <c r="C20" s="20">
        <v>160</v>
      </c>
      <c r="D20" s="20">
        <v>157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157</v>
      </c>
      <c r="C22" s="21">
        <v>164</v>
      </c>
      <c r="D22" s="21">
        <v>161.93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3980</v>
      </c>
      <c r="C24" s="24">
        <v>4177</v>
      </c>
      <c r="D24" s="24">
        <v>4165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50602</v>
      </c>
      <c r="C26" s="21">
        <v>52799</v>
      </c>
      <c r="D26" s="21">
        <v>51939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24404</v>
      </c>
      <c r="C28" s="21">
        <v>25496</v>
      </c>
      <c r="D28" s="21">
        <v>25261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13.37</v>
      </c>
      <c r="C30" s="18">
        <v>15.98</v>
      </c>
      <c r="D30" s="18">
        <v>14.49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97.12</v>
      </c>
      <c r="C32" s="27">
        <v>99.3</v>
      </c>
      <c r="D32" s="27">
        <v>98.77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7" t="s">
        <v>98</v>
      </c>
      <c r="B34" s="27">
        <v>1.161</v>
      </c>
      <c r="C34" s="27">
        <v>1.1739999999999999</v>
      </c>
      <c r="D34" s="27">
        <v>1.169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156.47999999999999</v>
      </c>
      <c r="C36" s="20">
        <v>157.99</v>
      </c>
      <c r="D36" s="20">
        <v>157.83000000000001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1.339</v>
      </c>
      <c r="C38" s="20">
        <v>1.3540000000000001</v>
      </c>
      <c r="D38" s="20">
        <v>1.347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6" t="s">
        <v>105</v>
      </c>
      <c r="B40" s="26">
        <v>0.71699999999999997</v>
      </c>
      <c r="C40" s="26">
        <v>0.72899999999999998</v>
      </c>
      <c r="D40" s="26">
        <v>0.72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55.99</v>
      </c>
      <c r="C42" s="18">
        <v>59.26</v>
      </c>
      <c r="D42" s="18">
        <v>58.78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59.98</v>
      </c>
      <c r="C44" s="18">
        <v>63.24</v>
      </c>
      <c r="D44" s="18">
        <v>63.03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3.03</v>
      </c>
      <c r="C46" s="19">
        <v>3.88</v>
      </c>
      <c r="D46" s="19">
        <v>3.14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4351</v>
      </c>
      <c r="C48" s="21">
        <v>4612</v>
      </c>
      <c r="D48" s="21">
        <v>4585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5.57</v>
      </c>
      <c r="C50" s="20">
        <v>6.09</v>
      </c>
      <c r="D50" s="20">
        <v>5.84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76.11</v>
      </c>
      <c r="C52" s="23">
        <v>84.67</v>
      </c>
      <c r="D52" s="23">
        <v>79.34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467</v>
      </c>
      <c r="C54" s="18">
        <v>488</v>
      </c>
      <c r="D54" s="18">
        <v>479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252</v>
      </c>
      <c r="C56" s="18">
        <v>268</v>
      </c>
      <c r="D56" s="18">
        <v>259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234</v>
      </c>
      <c r="C58" s="20">
        <v>251</v>
      </c>
      <c r="D58" s="20">
        <v>247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641</v>
      </c>
      <c r="C60" s="18">
        <v>668</v>
      </c>
      <c r="D60" s="18">
        <v>653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313</v>
      </c>
      <c r="C62" s="20">
        <v>331</v>
      </c>
      <c r="D62" s="20">
        <v>329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87</v>
      </c>
      <c r="C64" s="18">
        <v>94</v>
      </c>
      <c r="D64" s="18">
        <v>89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7" t="s">
        <v>91</v>
      </c>
      <c r="B66" s="27">
        <v>422</v>
      </c>
      <c r="C66" s="27">
        <v>458</v>
      </c>
      <c r="D66" s="27">
        <v>445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182</v>
      </c>
      <c r="C68" s="20">
        <v>192</v>
      </c>
      <c r="D68" s="20">
        <v>185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186</v>
      </c>
      <c r="C70" s="19">
        <v>201</v>
      </c>
      <c r="D70" s="19">
        <v>199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88790</v>
      </c>
      <c r="C72" s="28">
        <v>94417</v>
      </c>
      <c r="D72" s="28">
        <v>90682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36EC-3662-48F3-90E0-1A8AFFDDD294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4.9000000000000004</v>
      </c>
      <c r="C2" s="20">
        <v>4.8099999999999996</v>
      </c>
      <c r="D2" s="20">
        <v>4.83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4.22</v>
      </c>
      <c r="C4" s="18">
        <v>4.12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3.57</v>
      </c>
      <c r="C6" s="18">
        <v>3.43</v>
      </c>
      <c r="D6" s="18">
        <v>3.54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80.650000000000006</v>
      </c>
      <c r="C8" s="20">
        <v>81.19</v>
      </c>
      <c r="D8" s="20">
        <v>81.040000000000006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</v>
      </c>
      <c r="D10" s="20">
        <v>110.5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6873</v>
      </c>
      <c r="C12" s="21">
        <v>7019</v>
      </c>
      <c r="D12" s="21">
        <v>6977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23201</v>
      </c>
      <c r="C14" s="24">
        <v>23907</v>
      </c>
      <c r="D14" s="24">
        <v>23733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2548</v>
      </c>
      <c r="C16" s="21">
        <v>2687</v>
      </c>
      <c r="D16" s="21">
        <v>2635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148</v>
      </c>
      <c r="D18" s="20">
        <v>147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154</v>
      </c>
      <c r="C20" s="20">
        <v>160</v>
      </c>
      <c r="D20" s="20">
        <v>157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158</v>
      </c>
      <c r="C22" s="21">
        <v>166</v>
      </c>
      <c r="D22" s="21">
        <v>163.16999999999999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4031</v>
      </c>
      <c r="C24" s="24">
        <v>4198</v>
      </c>
      <c r="D24" s="24">
        <v>4138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50702</v>
      </c>
      <c r="C26" s="21">
        <v>53601</v>
      </c>
      <c r="D26" s="21">
        <v>53549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24497</v>
      </c>
      <c r="C28" s="21">
        <v>25598</v>
      </c>
      <c r="D28" s="21">
        <v>25405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13.48</v>
      </c>
      <c r="C30" s="18">
        <v>15.92</v>
      </c>
      <c r="D30" s="18">
        <v>15.12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98.22</v>
      </c>
      <c r="C32" s="23">
        <v>99.37</v>
      </c>
      <c r="D32" s="23">
        <v>99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1.1599999999999999</v>
      </c>
      <c r="C34" s="25">
        <v>1.173</v>
      </c>
      <c r="D34" s="25">
        <v>1.1659999999999999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156.86000000000001</v>
      </c>
      <c r="C36" s="20">
        <v>158.97999999999999</v>
      </c>
      <c r="D36" s="20">
        <v>158.91999999999999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1.339</v>
      </c>
      <c r="C38" s="20">
        <v>1.353</v>
      </c>
      <c r="D38" s="20">
        <v>1.3460000000000001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18" t="s">
        <v>49</v>
      </c>
      <c r="B40" s="18">
        <v>0.71499999999999997</v>
      </c>
      <c r="C40" s="18">
        <v>0.72599999999999998</v>
      </c>
      <c r="D40" s="18">
        <v>0.72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6" t="s">
        <v>122</v>
      </c>
      <c r="B42" s="26">
        <v>55.73</v>
      </c>
      <c r="C42" s="26">
        <v>60.74</v>
      </c>
      <c r="D42" s="26">
        <v>59.5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6" t="s">
        <v>123</v>
      </c>
      <c r="B44" s="26">
        <v>59.99</v>
      </c>
      <c r="C44" s="26">
        <v>64.959999999999994</v>
      </c>
      <c r="D44" s="26">
        <v>63.87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3.05</v>
      </c>
      <c r="C46" s="19">
        <v>3.87</v>
      </c>
      <c r="D46" s="19">
        <v>3.36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4387</v>
      </c>
      <c r="C48" s="21">
        <v>4624</v>
      </c>
      <c r="D48" s="21">
        <v>4584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5.59</v>
      </c>
      <c r="C50" s="20">
        <v>6.11</v>
      </c>
      <c r="D50" s="20">
        <v>5.94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77.16</v>
      </c>
      <c r="C52" s="23">
        <v>85.92</v>
      </c>
      <c r="D52" s="23">
        <v>83.94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467</v>
      </c>
      <c r="C54" s="18">
        <v>485</v>
      </c>
      <c r="D54" s="18">
        <v>477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252</v>
      </c>
      <c r="C56" s="18">
        <v>269</v>
      </c>
      <c r="D56" s="18">
        <v>260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235</v>
      </c>
      <c r="C58" s="20">
        <v>253</v>
      </c>
      <c r="D58" s="20">
        <v>246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638</v>
      </c>
      <c r="C60" s="18">
        <v>661</v>
      </c>
      <c r="D60" s="18">
        <v>642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315</v>
      </c>
      <c r="C62" s="20">
        <v>335</v>
      </c>
      <c r="D62" s="20">
        <v>332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87</v>
      </c>
      <c r="C64" s="18">
        <v>93</v>
      </c>
      <c r="D64" s="18">
        <v>89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425</v>
      </c>
      <c r="C66" s="23">
        <v>460</v>
      </c>
      <c r="D66" s="23">
        <v>449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182</v>
      </c>
      <c r="C68" s="20">
        <v>190</v>
      </c>
      <c r="D68" s="20">
        <v>185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184</v>
      </c>
      <c r="C70" s="19">
        <v>208</v>
      </c>
      <c r="D70" s="19">
        <v>205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6" t="s">
        <v>102</v>
      </c>
      <c r="B72" s="28">
        <v>89314</v>
      </c>
      <c r="C72" s="28">
        <v>94581</v>
      </c>
      <c r="D72" s="28">
        <v>92005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18CB-72FD-49F2-8314-CBC20F32C881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4.87</v>
      </c>
      <c r="C2" s="20">
        <v>4.8099999999999996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4.12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3.55</v>
      </c>
      <c r="C6" s="18">
        <v>3.43</v>
      </c>
      <c r="D6" s="18">
        <v>3.55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80.67</v>
      </c>
      <c r="C8" s="20">
        <v>81.25</v>
      </c>
      <c r="D8" s="20">
        <v>81.040000000000006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111.1</v>
      </c>
      <c r="D10" s="20">
        <v>110.8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6882</v>
      </c>
      <c r="C12" s="21">
        <v>7025</v>
      </c>
      <c r="D12" s="21">
        <v>6963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23405</v>
      </c>
      <c r="C14" s="24">
        <v>23906</v>
      </c>
      <c r="D14" s="24">
        <v>23709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2555</v>
      </c>
      <c r="C16" s="21">
        <v>2683</v>
      </c>
      <c r="D16" s="21">
        <v>2633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148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154</v>
      </c>
      <c r="C20" s="20">
        <v>160</v>
      </c>
      <c r="D20" s="20">
        <v>157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158</v>
      </c>
      <c r="C22" s="21">
        <v>166</v>
      </c>
      <c r="D22" s="21">
        <v>164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3999</v>
      </c>
      <c r="C24" s="24">
        <v>4214</v>
      </c>
      <c r="D24" s="24">
        <v>4126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51515</v>
      </c>
      <c r="C26" s="21">
        <v>54574</v>
      </c>
      <c r="D26" s="21">
        <v>54341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24544</v>
      </c>
      <c r="C28" s="21">
        <v>25671</v>
      </c>
      <c r="D28" s="21">
        <v>25420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13.85</v>
      </c>
      <c r="C30" s="18">
        <v>16.350000000000001</v>
      </c>
      <c r="D30" s="18">
        <v>15.98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98.24</v>
      </c>
      <c r="C32" s="23">
        <v>99.43</v>
      </c>
      <c r="D32" s="23">
        <v>99.03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1.161</v>
      </c>
      <c r="C34" s="25">
        <v>1.173</v>
      </c>
      <c r="D34" s="25">
        <v>1.165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156.93</v>
      </c>
      <c r="C36" s="20">
        <v>159.47999999999999</v>
      </c>
      <c r="D36" s="20">
        <v>158.56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1.337</v>
      </c>
      <c r="C38" s="20">
        <v>1.3520000000000001</v>
      </c>
      <c r="D38" s="20">
        <v>1.345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18" t="s">
        <v>49</v>
      </c>
      <c r="B40" s="18">
        <v>0.71499999999999997</v>
      </c>
      <c r="C40" s="18">
        <v>0.72399999999999998</v>
      </c>
      <c r="D40" s="18">
        <v>0.72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56.74</v>
      </c>
      <c r="C42" s="20">
        <v>61.81</v>
      </c>
      <c r="D42" s="20">
        <v>61.15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60.51</v>
      </c>
      <c r="C44" s="20">
        <v>66.11</v>
      </c>
      <c r="D44" s="20">
        <v>65.47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3.1</v>
      </c>
      <c r="C46" s="19">
        <v>3.84</v>
      </c>
      <c r="D46" s="19">
        <v>3.42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4407</v>
      </c>
      <c r="C48" s="21">
        <v>4671</v>
      </c>
      <c r="D48" s="21">
        <v>4586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5.64</v>
      </c>
      <c r="C50" s="20">
        <v>6.15</v>
      </c>
      <c r="D50" s="20">
        <v>5.97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78.92</v>
      </c>
      <c r="C52" s="23">
        <v>91.23</v>
      </c>
      <c r="D52" s="23">
        <v>88.09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466</v>
      </c>
      <c r="C54" s="18">
        <v>485</v>
      </c>
      <c r="D54" s="18">
        <v>471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253</v>
      </c>
      <c r="C56" s="18">
        <v>268</v>
      </c>
      <c r="D56" s="18">
        <v>261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234</v>
      </c>
      <c r="C58" s="20">
        <v>254</v>
      </c>
      <c r="D58" s="20">
        <v>243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629</v>
      </c>
      <c r="C60" s="18">
        <v>653</v>
      </c>
      <c r="D60" s="18">
        <v>631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322</v>
      </c>
      <c r="C62" s="20">
        <v>341</v>
      </c>
      <c r="D62" s="20">
        <v>336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87</v>
      </c>
      <c r="C64" s="18">
        <v>93</v>
      </c>
      <c r="D64" s="18">
        <v>90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430</v>
      </c>
      <c r="C66" s="23">
        <v>458</v>
      </c>
      <c r="D66" s="23">
        <v>447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183</v>
      </c>
      <c r="C68" s="20">
        <v>191</v>
      </c>
      <c r="D68" s="20">
        <v>186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185</v>
      </c>
      <c r="C70" s="19">
        <v>207</v>
      </c>
      <c r="D70" s="19">
        <v>202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0" t="s">
        <v>126</v>
      </c>
      <c r="B72" s="21">
        <v>90913</v>
      </c>
      <c r="C72" s="21">
        <v>96018</v>
      </c>
      <c r="D72" s="21">
        <v>95005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137E-F3D6-4742-A036-F3E79184DD89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4.87</v>
      </c>
      <c r="C2" s="20">
        <v>4.7699999999999996</v>
      </c>
      <c r="D2" s="20">
        <v>4.78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4.1900000000000004</v>
      </c>
      <c r="C4" s="18">
        <v>4.1100000000000003</v>
      </c>
      <c r="D4" s="18">
        <v>4.1399999999999997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3.54</v>
      </c>
      <c r="C6" s="18">
        <v>3.43</v>
      </c>
      <c r="D6" s="18">
        <v>3.52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80.75</v>
      </c>
      <c r="C8" s="20">
        <v>81.25</v>
      </c>
      <c r="D8" s="20">
        <v>81.040000000000006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111.2</v>
      </c>
      <c r="D10" s="20">
        <v>111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6884</v>
      </c>
      <c r="C12" s="21">
        <v>7021</v>
      </c>
      <c r="D12" s="21">
        <v>6926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23213</v>
      </c>
      <c r="C14" s="24">
        <v>23860</v>
      </c>
      <c r="D14" s="24">
        <v>23471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2590</v>
      </c>
      <c r="C16" s="21">
        <v>2711</v>
      </c>
      <c r="D16" s="21">
        <v>2651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147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160</v>
      </c>
      <c r="D20" s="20">
        <v>158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160</v>
      </c>
      <c r="C22" s="21">
        <v>167</v>
      </c>
      <c r="D22" s="21">
        <v>164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4008</v>
      </c>
      <c r="C24" s="24">
        <v>4212</v>
      </c>
      <c r="D24" s="24">
        <v>4112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52004</v>
      </c>
      <c r="C26" s="21">
        <v>54518</v>
      </c>
      <c r="D26" s="21">
        <v>54110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24567</v>
      </c>
      <c r="C28" s="21">
        <v>25687</v>
      </c>
      <c r="D28" s="21">
        <v>25286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13.47</v>
      </c>
      <c r="C30" s="18">
        <v>16.93</v>
      </c>
      <c r="D30" s="18">
        <v>16.75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98.32</v>
      </c>
      <c r="C32" s="23">
        <v>99.54</v>
      </c>
      <c r="D32" s="23">
        <v>99.27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1.1599999999999999</v>
      </c>
      <c r="C34" s="25">
        <v>1.173</v>
      </c>
      <c r="D34" s="25">
        <v>1.1619999999999999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156.99</v>
      </c>
      <c r="C36" s="20">
        <v>159.75</v>
      </c>
      <c r="D36" s="20">
        <v>158.6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1.3360000000000001</v>
      </c>
      <c r="C38" s="20">
        <v>1.3520000000000001</v>
      </c>
      <c r="D38" s="20">
        <v>1.34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18" t="s">
        <v>49</v>
      </c>
      <c r="B40" s="18">
        <v>0.71499999999999997</v>
      </c>
      <c r="C40" s="18">
        <v>0.72299999999999998</v>
      </c>
      <c r="D40" s="18">
        <v>0.71899999999999997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57.43</v>
      </c>
      <c r="C42" s="18">
        <v>61.14</v>
      </c>
      <c r="D42" s="18">
        <v>61.05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60.56</v>
      </c>
      <c r="C44" s="18">
        <v>65.459999999999994</v>
      </c>
      <c r="D44" s="18">
        <v>65.44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3.01</v>
      </c>
      <c r="C46" s="19">
        <v>3.61</v>
      </c>
      <c r="D46" s="19">
        <v>3.1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4501</v>
      </c>
      <c r="C48" s="21">
        <v>4692</v>
      </c>
      <c r="D48" s="21">
        <v>4620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5.71</v>
      </c>
      <c r="C50" s="20">
        <v>6.19</v>
      </c>
      <c r="D50" s="20">
        <v>6.09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81.19</v>
      </c>
      <c r="C52" s="23">
        <v>93.51</v>
      </c>
      <c r="D52" s="23">
        <v>92.21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456</v>
      </c>
      <c r="C54" s="18">
        <v>476</v>
      </c>
      <c r="D54" s="18">
        <v>459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251</v>
      </c>
      <c r="C56" s="18">
        <v>267</v>
      </c>
      <c r="D56" s="18">
        <v>260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231</v>
      </c>
      <c r="C58" s="20">
        <v>251</v>
      </c>
      <c r="D58" s="20">
        <v>237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611</v>
      </c>
      <c r="C60" s="18">
        <v>648</v>
      </c>
      <c r="D60" s="18">
        <v>616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318</v>
      </c>
      <c r="C62" s="20">
        <v>344</v>
      </c>
      <c r="D62" s="20">
        <v>336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86</v>
      </c>
      <c r="C64" s="18">
        <v>92</v>
      </c>
      <c r="D64" s="18">
        <v>89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7" t="s">
        <v>91</v>
      </c>
      <c r="B66" s="27">
        <v>426</v>
      </c>
      <c r="C66" s="27">
        <v>455</v>
      </c>
      <c r="D66" s="27">
        <v>439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181</v>
      </c>
      <c r="C68" s="20">
        <v>190</v>
      </c>
      <c r="D68" s="20">
        <v>183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185</v>
      </c>
      <c r="C70" s="19">
        <v>198</v>
      </c>
      <c r="D70" s="19">
        <v>194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0" t="s">
        <v>126</v>
      </c>
      <c r="B72" s="21">
        <v>91416</v>
      </c>
      <c r="C72" s="21">
        <v>98111</v>
      </c>
      <c r="D72" s="21">
        <v>96847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0A6E-480B-4774-8B50-E94D9E5237F9}">
  <dimension ref="A1:D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4.88</v>
      </c>
      <c r="C2" s="20">
        <v>4.78</v>
      </c>
      <c r="D2" s="20">
        <v>4.8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18" t="s">
        <v>15</v>
      </c>
      <c r="B4" s="18">
        <v>4.2</v>
      </c>
      <c r="C4" s="18">
        <v>4.12</v>
      </c>
      <c r="D4" s="18">
        <v>4.18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3.58</v>
      </c>
      <c r="C6" s="18">
        <v>3.43</v>
      </c>
      <c r="D6" s="18">
        <v>3.58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80.790000000000006</v>
      </c>
      <c r="C8" s="20">
        <v>81.2</v>
      </c>
      <c r="D8" s="20">
        <v>81.040000000000006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110.3</v>
      </c>
      <c r="C10" s="20">
        <v>111.2</v>
      </c>
      <c r="D10" s="20">
        <v>110.9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6889</v>
      </c>
      <c r="C12" s="21">
        <v>7008</v>
      </c>
      <c r="D12" s="21">
        <v>6944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23315</v>
      </c>
      <c r="C14" s="24">
        <v>23797</v>
      </c>
      <c r="D14" s="24">
        <v>23530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2580</v>
      </c>
      <c r="C16" s="21">
        <v>2698</v>
      </c>
      <c r="D16" s="21">
        <v>2674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148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160</v>
      </c>
      <c r="D20" s="20">
        <v>157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161</v>
      </c>
      <c r="C22" s="21">
        <v>168</v>
      </c>
      <c r="D22" s="21">
        <v>166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4020</v>
      </c>
      <c r="C24" s="24">
        <v>4191</v>
      </c>
      <c r="D24" s="24">
        <v>4101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51328</v>
      </c>
      <c r="C26" s="21">
        <v>54983</v>
      </c>
      <c r="D26" s="21">
        <v>53936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24790</v>
      </c>
      <c r="C28" s="21">
        <v>25612</v>
      </c>
      <c r="D28" s="21">
        <v>25352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13.9</v>
      </c>
      <c r="C30" s="18">
        <v>16.84</v>
      </c>
      <c r="D30" s="18">
        <v>15.84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98.5</v>
      </c>
      <c r="C32" s="23">
        <v>99.6</v>
      </c>
      <c r="D32" s="23">
        <v>99.23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1.159</v>
      </c>
      <c r="C34" s="25">
        <v>1.171</v>
      </c>
      <c r="D34" s="25">
        <v>1.1619999999999999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156.91</v>
      </c>
      <c r="C36" s="20">
        <v>159.59</v>
      </c>
      <c r="D36" s="20">
        <v>158.15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1.3360000000000001</v>
      </c>
      <c r="C38" s="20">
        <v>1.351</v>
      </c>
      <c r="D38" s="20">
        <v>1.34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18" t="s">
        <v>49</v>
      </c>
      <c r="B40" s="18">
        <v>0.71599999999999997</v>
      </c>
      <c r="C40" s="18">
        <v>0.72199999999999998</v>
      </c>
      <c r="D40" s="18">
        <v>0.72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18" t="s">
        <v>51</v>
      </c>
      <c r="B42" s="18">
        <v>55.98</v>
      </c>
      <c r="C42" s="18">
        <v>62.01</v>
      </c>
      <c r="D42" s="18">
        <v>59.28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18" t="s">
        <v>53</v>
      </c>
      <c r="B44" s="18">
        <v>59.98</v>
      </c>
      <c r="C44" s="18">
        <v>66.42</v>
      </c>
      <c r="D44" s="18">
        <v>63.81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3</v>
      </c>
      <c r="C46" s="19">
        <v>3.55</v>
      </c>
      <c r="D46" s="19">
        <v>3.15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4506</v>
      </c>
      <c r="C48" s="21">
        <v>4682</v>
      </c>
      <c r="D48" s="21">
        <v>4619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5.72</v>
      </c>
      <c r="C50" s="20">
        <v>6.15</v>
      </c>
      <c r="D50" s="20">
        <v>5.99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83.67</v>
      </c>
      <c r="C52" s="23">
        <v>95.73</v>
      </c>
      <c r="D52" s="23">
        <v>92.73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453</v>
      </c>
      <c r="C54" s="18">
        <v>471</v>
      </c>
      <c r="D54" s="18">
        <v>457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252</v>
      </c>
      <c r="C56" s="18">
        <v>266</v>
      </c>
      <c r="D56" s="18">
        <v>258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232</v>
      </c>
      <c r="C58" s="20">
        <v>252</v>
      </c>
      <c r="D58" s="20">
        <v>238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608</v>
      </c>
      <c r="C60" s="18">
        <v>647</v>
      </c>
      <c r="D60" s="18">
        <v>621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319</v>
      </c>
      <c r="C62" s="20">
        <v>345</v>
      </c>
      <c r="D62" s="20">
        <v>333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86</v>
      </c>
      <c r="C64" s="18">
        <v>91</v>
      </c>
      <c r="D64" s="18">
        <v>88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7" t="s">
        <v>91</v>
      </c>
      <c r="B66" s="27">
        <v>424</v>
      </c>
      <c r="C66" s="27">
        <v>455</v>
      </c>
      <c r="D66" s="27">
        <v>439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183</v>
      </c>
      <c r="C68" s="20">
        <v>191</v>
      </c>
      <c r="D68" s="20">
        <v>187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182</v>
      </c>
      <c r="C70" s="19">
        <v>199</v>
      </c>
      <c r="D70" s="19">
        <v>190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20" t="s">
        <v>126</v>
      </c>
      <c r="B72" s="21">
        <v>91609</v>
      </c>
      <c r="C72" s="21">
        <v>98333</v>
      </c>
      <c r="D72" s="21">
        <v>95385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3A1F-B8AD-4AE6-AA3A-9A3E1B285EE4}">
  <dimension ref="A1:E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4.95</v>
      </c>
      <c r="C2" s="20">
        <v>4.8099999999999996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4.32</v>
      </c>
      <c r="C4" s="20">
        <v>4.13</v>
      </c>
      <c r="D4" s="20">
        <v>4.2300000000000004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3.44</v>
      </c>
      <c r="D6" s="18">
        <v>3.59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80.790000000000006</v>
      </c>
      <c r="C8" s="20">
        <v>81.180000000000007</v>
      </c>
      <c r="D8" s="20">
        <v>81.09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6" t="s">
        <v>128</v>
      </c>
      <c r="B10" s="26">
        <v>109.9</v>
      </c>
      <c r="C10" s="26">
        <v>111</v>
      </c>
      <c r="D10" s="26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6845</v>
      </c>
      <c r="C12" s="21">
        <v>6993</v>
      </c>
      <c r="D12" s="21">
        <v>6940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23101</v>
      </c>
      <c r="C14" s="24">
        <v>23775</v>
      </c>
      <c r="D14" s="24">
        <v>23515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2575</v>
      </c>
      <c r="C16" s="21">
        <v>2702</v>
      </c>
      <c r="D16" s="21">
        <v>2677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6" t="s">
        <v>89</v>
      </c>
      <c r="B18" s="26">
        <v>141</v>
      </c>
      <c r="C18" s="26">
        <v>146</v>
      </c>
      <c r="D18" s="26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160</v>
      </c>
      <c r="D20" s="20">
        <v>156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160</v>
      </c>
      <c r="C22" s="21">
        <v>169</v>
      </c>
      <c r="D22" s="21">
        <v>167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4037</v>
      </c>
      <c r="C24" s="24">
        <v>4184</v>
      </c>
      <c r="D24" s="24">
        <v>4113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51426</v>
      </c>
      <c r="C26" s="21">
        <v>54999</v>
      </c>
      <c r="D26" s="21">
        <v>52991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24404</v>
      </c>
      <c r="C28" s="21">
        <v>25411</v>
      </c>
      <c r="D28" s="21">
        <v>24959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14.12</v>
      </c>
      <c r="C30" s="18">
        <v>19.920000000000002</v>
      </c>
      <c r="D30" s="18">
        <v>15.86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98.14</v>
      </c>
      <c r="C32" s="25">
        <v>99.38</v>
      </c>
      <c r="D32" s="25">
        <v>98.44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1.163</v>
      </c>
      <c r="C34" s="23">
        <v>1.1779999999999999</v>
      </c>
      <c r="D34" s="23">
        <v>1.1739999999999999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156.9</v>
      </c>
      <c r="C36" s="20">
        <v>159.13</v>
      </c>
      <c r="D36" s="20">
        <v>157.80000000000001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1.337</v>
      </c>
      <c r="C38" s="20">
        <v>1.3520000000000001</v>
      </c>
      <c r="D38" s="20">
        <v>1.345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6" t="s">
        <v>105</v>
      </c>
      <c r="B40" s="26">
        <v>0.71699999999999997</v>
      </c>
      <c r="C40" s="26">
        <v>0.72599999999999998</v>
      </c>
      <c r="D40" s="26">
        <v>0.72299999999999998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6" t="s">
        <v>122</v>
      </c>
      <c r="B42" s="26">
        <v>56.14</v>
      </c>
      <c r="C42" s="26">
        <v>62.03</v>
      </c>
      <c r="D42" s="26">
        <v>59.34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6" t="s">
        <v>123</v>
      </c>
      <c r="B44" s="26">
        <v>60.16</v>
      </c>
      <c r="C44" s="26">
        <v>66.510000000000005</v>
      </c>
      <c r="D44" s="26">
        <v>64.13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3.08</v>
      </c>
      <c r="C46" s="28">
        <v>3.84</v>
      </c>
      <c r="D46" s="28">
        <v>3.1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4561</v>
      </c>
      <c r="C48" s="21">
        <v>4749</v>
      </c>
      <c r="D48" s="21">
        <v>4724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5.71</v>
      </c>
      <c r="C50" s="20">
        <v>6.17</v>
      </c>
      <c r="D50" s="20">
        <v>5.83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84.97</v>
      </c>
      <c r="C52" s="23">
        <v>96.91</v>
      </c>
      <c r="D52" s="23">
        <v>89.94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450</v>
      </c>
      <c r="C54" s="18">
        <v>471</v>
      </c>
      <c r="D54" s="18">
        <v>460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250</v>
      </c>
      <c r="C56" s="18">
        <v>261</v>
      </c>
      <c r="D56" s="18">
        <v>256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230</v>
      </c>
      <c r="C58" s="20">
        <v>250</v>
      </c>
      <c r="D58" s="20">
        <v>239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603</v>
      </c>
      <c r="C60" s="18">
        <v>644</v>
      </c>
      <c r="D60" s="18">
        <v>620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315</v>
      </c>
      <c r="C62" s="20">
        <v>342</v>
      </c>
      <c r="D62" s="20">
        <v>330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84</v>
      </c>
      <c r="C64" s="18">
        <v>93</v>
      </c>
      <c r="D64" s="18">
        <v>88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420</v>
      </c>
      <c r="C66" s="25">
        <v>450</v>
      </c>
      <c r="D66" s="25">
        <v>438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20" t="s">
        <v>101</v>
      </c>
      <c r="B68" s="20">
        <v>180</v>
      </c>
      <c r="C68" s="20">
        <v>190</v>
      </c>
      <c r="D68" s="20">
        <v>186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181</v>
      </c>
      <c r="C70" s="19">
        <v>198</v>
      </c>
      <c r="D70" s="19">
        <v>191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26" t="s">
        <v>102</v>
      </c>
      <c r="B72" s="28">
        <v>90108</v>
      </c>
      <c r="C72" s="28">
        <v>96901</v>
      </c>
      <c r="D72" s="28">
        <v>91158</v>
      </c>
      <c r="E72" t="s">
        <v>129</v>
      </c>
    </row>
    <row r="73" spans="1:5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CD86-BC17-4148-ADAA-F3746EFE7366}">
  <dimension ref="A1:E73"/>
  <sheetViews>
    <sheetView workbookViewId="0"/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4.93</v>
      </c>
      <c r="C2" s="20">
        <v>4.82</v>
      </c>
      <c r="D2" s="20">
        <v>4.92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4.3099999999999996</v>
      </c>
      <c r="C4" s="20">
        <v>4.1500000000000004</v>
      </c>
      <c r="D4" s="20">
        <v>4.3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3.47</v>
      </c>
      <c r="D6" s="18">
        <v>3.61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80.760000000000005</v>
      </c>
      <c r="C8" s="20">
        <v>81.17</v>
      </c>
      <c r="D8" s="20">
        <v>80.88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6" t="s">
        <v>128</v>
      </c>
      <c r="B10" s="26">
        <v>109.7</v>
      </c>
      <c r="C10" s="26">
        <v>110.7</v>
      </c>
      <c r="D10" s="26">
        <v>109.9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6773</v>
      </c>
      <c r="C12" s="21">
        <v>7039</v>
      </c>
      <c r="D12" s="21">
        <v>6796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5" t="s">
        <v>25</v>
      </c>
      <c r="B14" s="29">
        <v>22714</v>
      </c>
      <c r="C14" s="29">
        <v>23616</v>
      </c>
      <c r="D14" s="29">
        <v>22954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2594</v>
      </c>
      <c r="C16" s="21">
        <v>2704</v>
      </c>
      <c r="D16" s="21">
        <v>2645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139</v>
      </c>
      <c r="C18" s="18">
        <v>145</v>
      </c>
      <c r="D18" s="18">
        <v>142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153</v>
      </c>
      <c r="C20" s="20">
        <v>159</v>
      </c>
      <c r="D20" s="20">
        <v>155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159</v>
      </c>
      <c r="C22" s="21">
        <v>169</v>
      </c>
      <c r="D22" s="21">
        <v>164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4055</v>
      </c>
      <c r="C24" s="24">
        <v>4173</v>
      </c>
      <c r="D24" s="24">
        <v>4116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51730</v>
      </c>
      <c r="C26" s="21">
        <v>55204</v>
      </c>
      <c r="D26" s="21">
        <v>52774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24321</v>
      </c>
      <c r="C28" s="21">
        <v>25412</v>
      </c>
      <c r="D28" s="21">
        <v>24703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13.46</v>
      </c>
      <c r="C30" s="18">
        <v>21.65</v>
      </c>
      <c r="D30" s="18">
        <v>20.09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98.4</v>
      </c>
      <c r="C32" s="25">
        <v>99.38</v>
      </c>
      <c r="D32" s="25">
        <v>98.48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1.161</v>
      </c>
      <c r="C34" s="23">
        <v>1.175</v>
      </c>
      <c r="D34" s="23">
        <v>1.173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157.16999999999999</v>
      </c>
      <c r="C36" s="20">
        <v>159.11000000000001</v>
      </c>
      <c r="D36" s="20">
        <v>157.78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1.335</v>
      </c>
      <c r="C38" s="26">
        <v>1.35</v>
      </c>
      <c r="D38" s="26">
        <v>1.3420000000000001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6" t="s">
        <v>105</v>
      </c>
      <c r="B40" s="26">
        <v>0.71799999999999997</v>
      </c>
      <c r="C40" s="26">
        <v>0.72399999999999998</v>
      </c>
      <c r="D40" s="26">
        <v>0.72399999999999998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6" t="s">
        <v>122</v>
      </c>
      <c r="B42" s="26">
        <v>56.74</v>
      </c>
      <c r="C42" s="26">
        <v>61.99</v>
      </c>
      <c r="D42" s="26">
        <v>59.52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6" t="s">
        <v>123</v>
      </c>
      <c r="B44" s="26">
        <v>61.73</v>
      </c>
      <c r="C44" s="26">
        <v>66.62</v>
      </c>
      <c r="D44" s="26">
        <v>63.91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3.12</v>
      </c>
      <c r="C46" s="21">
        <v>4.75</v>
      </c>
      <c r="D46" s="21">
        <v>3.9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4603</v>
      </c>
      <c r="C48" s="21">
        <v>4893</v>
      </c>
      <c r="D48" s="21">
        <v>4865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5.79</v>
      </c>
      <c r="C50" s="20">
        <v>6.19</v>
      </c>
      <c r="D50" s="20">
        <v>5.82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85.98</v>
      </c>
      <c r="C52" s="23">
        <v>98.91</v>
      </c>
      <c r="D52" s="23">
        <v>94.06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445</v>
      </c>
      <c r="C54" s="18">
        <v>470</v>
      </c>
      <c r="D54" s="18">
        <v>455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245</v>
      </c>
      <c r="C56" s="18">
        <v>257</v>
      </c>
      <c r="D56" s="18">
        <v>247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228</v>
      </c>
      <c r="C58" s="20">
        <v>252</v>
      </c>
      <c r="D58" s="20">
        <v>231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596</v>
      </c>
      <c r="C60" s="18">
        <v>635</v>
      </c>
      <c r="D60" s="18">
        <v>604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315</v>
      </c>
      <c r="C62" s="20">
        <v>340</v>
      </c>
      <c r="D62" s="20">
        <v>322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80</v>
      </c>
      <c r="C64" s="18">
        <v>90</v>
      </c>
      <c r="D64" s="18">
        <v>87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411</v>
      </c>
      <c r="C66" s="25">
        <v>446</v>
      </c>
      <c r="D66" s="25">
        <v>419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171</v>
      </c>
      <c r="C68" s="18">
        <v>186</v>
      </c>
      <c r="D68" s="18">
        <v>178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174</v>
      </c>
      <c r="C70" s="19">
        <v>194</v>
      </c>
      <c r="D70" s="19">
        <v>180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87564</v>
      </c>
      <c r="C72" s="19">
        <v>94231</v>
      </c>
      <c r="D72" s="19">
        <v>88545</v>
      </c>
      <c r="E72" t="s">
        <v>129</v>
      </c>
    </row>
    <row r="73" spans="1:5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6332-6EA4-43FF-A6E9-E3B04ADCB612}">
  <dimension ref="A1:E73"/>
  <sheetViews>
    <sheetView workbookViewId="0">
      <selection sqref="A1:D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4.92</v>
      </c>
      <c r="C2" s="20">
        <v>4.79</v>
      </c>
      <c r="D2" s="20">
        <v>4.8600000000000003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</v>
      </c>
      <c r="C4" s="20">
        <v>4.12</v>
      </c>
      <c r="D4" s="20">
        <v>4.24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3.46</v>
      </c>
      <c r="D6" s="18">
        <v>3.6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80.78</v>
      </c>
      <c r="C8" s="20">
        <v>81.25</v>
      </c>
      <c r="D8" s="20">
        <v>81.12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109.8</v>
      </c>
      <c r="C10" s="20">
        <v>110.9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6807</v>
      </c>
      <c r="C12" s="21">
        <v>7038</v>
      </c>
      <c r="D12" s="21">
        <v>6875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7" t="s">
        <v>84</v>
      </c>
      <c r="B14" s="30">
        <v>22905</v>
      </c>
      <c r="C14" s="30">
        <v>23576</v>
      </c>
      <c r="D14" s="30">
        <v>23224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2620</v>
      </c>
      <c r="C16" s="21">
        <v>2728</v>
      </c>
      <c r="D16" s="21">
        <v>2698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140</v>
      </c>
      <c r="C18" s="18">
        <v>146</v>
      </c>
      <c r="D18" s="18">
        <v>144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160</v>
      </c>
      <c r="D20" s="20">
        <v>158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162</v>
      </c>
      <c r="C22" s="21">
        <v>170</v>
      </c>
      <c r="D22" s="21">
        <v>166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4076</v>
      </c>
      <c r="C24" s="24">
        <v>4166</v>
      </c>
      <c r="D24" s="24">
        <v>4122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51817</v>
      </c>
      <c r="C26" s="21">
        <v>54501</v>
      </c>
      <c r="D26" s="21">
        <v>53688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24401</v>
      </c>
      <c r="C28" s="21">
        <v>25417</v>
      </c>
      <c r="D28" s="21">
        <v>24560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13.13</v>
      </c>
      <c r="C30" s="18">
        <v>19.5</v>
      </c>
      <c r="D30" s="18">
        <v>16.899999999999999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98.43</v>
      </c>
      <c r="C32" s="27">
        <v>99.31</v>
      </c>
      <c r="D32" s="27">
        <v>98.67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1.1599999999999999</v>
      </c>
      <c r="C34" s="23">
        <v>1.173</v>
      </c>
      <c r="D34" s="23">
        <v>1.17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157.16999999999999</v>
      </c>
      <c r="C36" s="20">
        <v>159.11000000000001</v>
      </c>
      <c r="D36" s="20">
        <v>158.63999999999999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1.3360000000000001</v>
      </c>
      <c r="C38" s="26">
        <v>1.35</v>
      </c>
      <c r="D38" s="26">
        <v>1.343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6" t="s">
        <v>105</v>
      </c>
      <c r="B40" s="26">
        <v>0.71899999999999997</v>
      </c>
      <c r="C40" s="26">
        <v>0.72499999999999998</v>
      </c>
      <c r="D40" s="26">
        <v>0.72299999999999998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57.6</v>
      </c>
      <c r="C42" s="20">
        <v>62.32</v>
      </c>
      <c r="D42" s="20">
        <v>60.62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61.94</v>
      </c>
      <c r="C44" s="20">
        <v>66.98</v>
      </c>
      <c r="D44" s="20">
        <v>65.239999999999995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3.71</v>
      </c>
      <c r="C46" s="21">
        <v>5.36</v>
      </c>
      <c r="D46" s="21">
        <v>5.04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4613</v>
      </c>
      <c r="C48" s="21">
        <v>4874</v>
      </c>
      <c r="D48" s="21">
        <v>4831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</v>
      </c>
      <c r="C50" s="20">
        <v>6.14</v>
      </c>
      <c r="D50" s="20">
        <v>5.79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87.64</v>
      </c>
      <c r="C52" s="23">
        <v>99.92</v>
      </c>
      <c r="D52" s="23">
        <v>91.59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440</v>
      </c>
      <c r="C54" s="18">
        <v>466</v>
      </c>
      <c r="D54" s="18">
        <v>444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244</v>
      </c>
      <c r="C56" s="18">
        <v>256</v>
      </c>
      <c r="D56" s="18">
        <v>248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228</v>
      </c>
      <c r="C58" s="20">
        <v>247</v>
      </c>
      <c r="D58" s="20">
        <v>231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594</v>
      </c>
      <c r="C60" s="18">
        <v>639</v>
      </c>
      <c r="D60" s="18">
        <v>613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322</v>
      </c>
      <c r="C62" s="20">
        <v>341</v>
      </c>
      <c r="D62" s="20">
        <v>328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81</v>
      </c>
      <c r="C64" s="18">
        <v>89</v>
      </c>
      <c r="D64" s="18">
        <v>85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413</v>
      </c>
      <c r="C66" s="25">
        <v>444</v>
      </c>
      <c r="D66" s="25">
        <v>431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26" t="s">
        <v>77</v>
      </c>
      <c r="B68" s="26">
        <v>177</v>
      </c>
      <c r="C68" s="26">
        <v>187</v>
      </c>
      <c r="D68" s="26">
        <v>183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171</v>
      </c>
      <c r="C70" s="19">
        <v>190</v>
      </c>
      <c r="D70" s="19">
        <v>174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87101</v>
      </c>
      <c r="C72" s="19">
        <v>94134</v>
      </c>
      <c r="D72" s="19">
        <v>90001</v>
      </c>
      <c r="E72" t="s">
        <v>129</v>
      </c>
    </row>
    <row r="73" spans="1:5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9C56-5F07-4474-8883-9B66B9DAAE3B}">
  <dimension ref="A1:D73"/>
  <sheetViews>
    <sheetView topLeftCell="A12" workbookViewId="0">
      <selection activeCell="A12" sqref="A1:D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4.92</v>
      </c>
      <c r="C2" s="20">
        <v>4.78</v>
      </c>
      <c r="D2" s="20">
        <v>4.84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4.29</v>
      </c>
      <c r="C4" s="20">
        <v>4.16</v>
      </c>
      <c r="D4" s="20">
        <v>4.25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3.48</v>
      </c>
      <c r="D6" s="18">
        <v>3.61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80.91</v>
      </c>
      <c r="C8" s="20">
        <v>81.3</v>
      </c>
      <c r="D8" s="20">
        <v>81.180000000000007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110.1</v>
      </c>
      <c r="C10" s="20">
        <v>111.2</v>
      </c>
      <c r="D10" s="20">
        <v>110.8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6825</v>
      </c>
      <c r="C12" s="21">
        <v>7039</v>
      </c>
      <c r="D12" s="21">
        <v>6913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7" t="s">
        <v>84</v>
      </c>
      <c r="B14" s="30">
        <v>22977</v>
      </c>
      <c r="C14" s="30">
        <v>23791</v>
      </c>
      <c r="D14" s="30">
        <v>23436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2651</v>
      </c>
      <c r="C16" s="21">
        <v>2742</v>
      </c>
      <c r="D16" s="21">
        <v>2718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6" t="s">
        <v>89</v>
      </c>
      <c r="B18" s="26">
        <v>141</v>
      </c>
      <c r="C18" s="26">
        <v>146</v>
      </c>
      <c r="D18" s="26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160</v>
      </c>
      <c r="D20" s="20">
        <v>158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162</v>
      </c>
      <c r="C22" s="21">
        <v>169</v>
      </c>
      <c r="D22" s="21">
        <v>166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4080</v>
      </c>
      <c r="C24" s="24">
        <v>4167</v>
      </c>
      <c r="D24" s="24">
        <v>4136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52122</v>
      </c>
      <c r="C26" s="21">
        <v>54818</v>
      </c>
      <c r="D26" s="21">
        <v>53846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24405</v>
      </c>
      <c r="C28" s="21">
        <v>25461</v>
      </c>
      <c r="D28" s="21">
        <v>24856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13.08</v>
      </c>
      <c r="C30" s="18">
        <v>19.420000000000002</v>
      </c>
      <c r="D30" s="18">
        <v>15.64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98.03</v>
      </c>
      <c r="C32" s="27">
        <v>98.99</v>
      </c>
      <c r="D32" s="27">
        <v>98.3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1.1599999999999999</v>
      </c>
      <c r="C34" s="23">
        <v>1.175</v>
      </c>
      <c r="D34" s="23">
        <v>1.1739999999999999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157.55000000000001</v>
      </c>
      <c r="C36" s="20">
        <v>159.12</v>
      </c>
      <c r="D36" s="20">
        <v>158.21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1.335</v>
      </c>
      <c r="C38" s="26">
        <v>1.351</v>
      </c>
      <c r="D38" s="26">
        <v>1.35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6" t="s">
        <v>105</v>
      </c>
      <c r="B40" s="26">
        <v>0.71899999999999997</v>
      </c>
      <c r="C40" s="26">
        <v>0.72499999999999998</v>
      </c>
      <c r="D40" s="26">
        <v>0.72499999999999998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58.42</v>
      </c>
      <c r="C42" s="20">
        <v>62.11</v>
      </c>
      <c r="D42" s="20">
        <v>59.67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62.9</v>
      </c>
      <c r="C44" s="20">
        <v>66.72</v>
      </c>
      <c r="D44" s="20">
        <v>64.38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3.77</v>
      </c>
      <c r="C46" s="21">
        <v>5.17</v>
      </c>
      <c r="D46" s="21">
        <v>4.93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4696</v>
      </c>
      <c r="C48" s="21">
        <v>4967</v>
      </c>
      <c r="D48" s="21">
        <v>4937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5.72</v>
      </c>
      <c r="C50" s="20">
        <v>6.16</v>
      </c>
      <c r="D50" s="20">
        <v>5.81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90.42</v>
      </c>
      <c r="C52" s="23">
        <v>101.24</v>
      </c>
      <c r="D52" s="23">
        <v>96.82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436</v>
      </c>
      <c r="C54" s="18">
        <v>469</v>
      </c>
      <c r="D54" s="18">
        <v>451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242</v>
      </c>
      <c r="C56" s="18">
        <v>256</v>
      </c>
      <c r="D56" s="18">
        <v>248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226</v>
      </c>
      <c r="C58" s="20">
        <v>247</v>
      </c>
      <c r="D58" s="20">
        <v>234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594</v>
      </c>
      <c r="C60" s="18">
        <v>661</v>
      </c>
      <c r="D60" s="18">
        <v>648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321</v>
      </c>
      <c r="C62" s="20">
        <v>339</v>
      </c>
      <c r="D62" s="20">
        <v>331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81</v>
      </c>
      <c r="C64" s="18">
        <v>88</v>
      </c>
      <c r="D64" s="18">
        <v>84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419</v>
      </c>
      <c r="C66" s="23">
        <v>467</v>
      </c>
      <c r="D66" s="23">
        <v>449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6" t="s">
        <v>77</v>
      </c>
      <c r="B68" s="26">
        <v>178</v>
      </c>
      <c r="C68" s="26">
        <v>190</v>
      </c>
      <c r="D68" s="26">
        <v>185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168</v>
      </c>
      <c r="C70" s="19">
        <v>189</v>
      </c>
      <c r="D70" s="19">
        <v>178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85539</v>
      </c>
      <c r="C72" s="19">
        <v>92172</v>
      </c>
      <c r="D72" s="19">
        <v>89132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31DB-6F29-4666-A74D-7A86F66FE91F}">
  <dimension ref="A1:D73"/>
  <sheetViews>
    <sheetView topLeftCell="A12" workbookViewId="0">
      <selection sqref="A1:D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4.91</v>
      </c>
      <c r="C2" s="20">
        <v>4.7699999999999996</v>
      </c>
      <c r="D2" s="20">
        <v>4.83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6" t="s">
        <v>130</v>
      </c>
      <c r="B4" s="26">
        <v>4.29</v>
      </c>
      <c r="C4" s="26">
        <v>4.13</v>
      </c>
      <c r="D4" s="26">
        <v>4.2300000000000004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3.49</v>
      </c>
      <c r="D6" s="18">
        <v>3.61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80.92</v>
      </c>
      <c r="C8" s="20">
        <v>81.28</v>
      </c>
      <c r="D8" s="20">
        <v>81.14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111.4</v>
      </c>
      <c r="D10" s="20">
        <v>110.8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6824</v>
      </c>
      <c r="C12" s="21">
        <v>7030</v>
      </c>
      <c r="D12" s="21">
        <v>6915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22981</v>
      </c>
      <c r="C14" s="24">
        <v>23721</v>
      </c>
      <c r="D14" s="24">
        <v>23501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2615</v>
      </c>
      <c r="C16" s="21">
        <v>2724</v>
      </c>
      <c r="D16" s="21">
        <v>2669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6" t="s">
        <v>89</v>
      </c>
      <c r="B18" s="26">
        <v>142</v>
      </c>
      <c r="C18" s="26">
        <v>146</v>
      </c>
      <c r="D18" s="26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155</v>
      </c>
      <c r="C20" s="20">
        <v>159</v>
      </c>
      <c r="D20" s="20">
        <v>157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162</v>
      </c>
      <c r="C22" s="21">
        <v>168</v>
      </c>
      <c r="D22" s="21">
        <v>164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4086</v>
      </c>
      <c r="C24" s="24">
        <v>4166</v>
      </c>
      <c r="D24" s="24">
        <v>4132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52604</v>
      </c>
      <c r="C26" s="21">
        <v>54606</v>
      </c>
      <c r="D26" s="21">
        <v>52885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24441</v>
      </c>
      <c r="C28" s="21">
        <v>25500</v>
      </c>
      <c r="D28" s="21">
        <v>24900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13.57</v>
      </c>
      <c r="C30" s="18">
        <v>19.329999999999998</v>
      </c>
      <c r="D30" s="18">
        <v>16.09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96.9</v>
      </c>
      <c r="C32" s="25">
        <v>98.72</v>
      </c>
      <c r="D32" s="25">
        <v>97.15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1.1659999999999999</v>
      </c>
      <c r="C34" s="23">
        <v>1.1879999999999999</v>
      </c>
      <c r="D34" s="23">
        <v>1.1850000000000001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6" t="s">
        <v>115</v>
      </c>
      <c r="B36" s="26">
        <v>152.96</v>
      </c>
      <c r="C36" s="26">
        <v>157.53</v>
      </c>
      <c r="D36" s="26">
        <v>153.87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1.3440000000000001</v>
      </c>
      <c r="C38" s="20">
        <v>1.369</v>
      </c>
      <c r="D38" s="20">
        <v>1.3660000000000001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0.72099999999999997</v>
      </c>
      <c r="C40" s="20">
        <v>0.73299999999999998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58.48</v>
      </c>
      <c r="C42" s="20">
        <v>62.45</v>
      </c>
      <c r="D42" s="20">
        <v>61.28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63.28</v>
      </c>
      <c r="C44" s="20">
        <v>67.23</v>
      </c>
      <c r="D44" s="20">
        <v>66.2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3.91</v>
      </c>
      <c r="C46" s="21">
        <v>6.39</v>
      </c>
      <c r="D46" s="21">
        <v>5.35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4736</v>
      </c>
      <c r="C48" s="21">
        <v>5124</v>
      </c>
      <c r="D48" s="21">
        <v>5091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</v>
      </c>
      <c r="C50" s="20">
        <v>6.14</v>
      </c>
      <c r="D50" s="20">
        <v>5.94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92.9</v>
      </c>
      <c r="C52" s="23">
        <v>111.4</v>
      </c>
      <c r="D52" s="23">
        <v>102.95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439</v>
      </c>
      <c r="C54" s="18">
        <v>472</v>
      </c>
      <c r="D54" s="18">
        <v>466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240</v>
      </c>
      <c r="C56" s="18">
        <v>258</v>
      </c>
      <c r="D56" s="18">
        <v>248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229</v>
      </c>
      <c r="C58" s="20">
        <v>248</v>
      </c>
      <c r="D58" s="20">
        <v>239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592</v>
      </c>
      <c r="C60" s="18">
        <v>664</v>
      </c>
      <c r="D60" s="18">
        <v>659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320</v>
      </c>
      <c r="C62" s="20">
        <v>340</v>
      </c>
      <c r="D62" s="20">
        <v>328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82</v>
      </c>
      <c r="C64" s="18">
        <v>89</v>
      </c>
      <c r="D64" s="18">
        <v>86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420</v>
      </c>
      <c r="C66" s="23">
        <v>464</v>
      </c>
      <c r="D66" s="23">
        <v>449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179</v>
      </c>
      <c r="C68" s="20">
        <v>191</v>
      </c>
      <c r="D68" s="20">
        <v>188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165</v>
      </c>
      <c r="C70" s="19">
        <v>188</v>
      </c>
      <c r="D70" s="19">
        <v>177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84901</v>
      </c>
      <c r="C72" s="19">
        <v>91636</v>
      </c>
      <c r="D72" s="19">
        <v>87868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67DA-993A-433B-999E-EE36AC19049F}">
  <dimension ref="A1:D73"/>
  <sheetViews>
    <sheetView topLeftCell="A5" workbookViewId="0">
      <selection activeCell="A38" sqref="A1:D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6" t="s">
        <v>131</v>
      </c>
      <c r="B2" s="26">
        <v>4.9000000000000004</v>
      </c>
      <c r="C2" s="26">
        <v>4.7699999999999996</v>
      </c>
      <c r="D2" s="26">
        <v>4.8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6" t="s">
        <v>130</v>
      </c>
      <c r="B4" s="26">
        <v>4.29</v>
      </c>
      <c r="C4" s="26">
        <v>4.1399999999999997</v>
      </c>
      <c r="D4" s="26">
        <v>4.22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3.49</v>
      </c>
      <c r="D6" s="18">
        <v>3.6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80.91</v>
      </c>
      <c r="C8" s="20">
        <v>81.290000000000006</v>
      </c>
      <c r="D8" s="20">
        <v>81.180000000000007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111.3</v>
      </c>
      <c r="D10" s="20">
        <v>110.9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6828</v>
      </c>
      <c r="C12" s="21">
        <v>7021</v>
      </c>
      <c r="D12" s="21">
        <v>6950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23026</v>
      </c>
      <c r="C14" s="24">
        <v>23829</v>
      </c>
      <c r="D14" s="24">
        <v>23601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2621</v>
      </c>
      <c r="C16" s="21">
        <v>2723</v>
      </c>
      <c r="D16" s="21">
        <v>2659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147</v>
      </c>
      <c r="D18" s="20">
        <v>146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31</v>
      </c>
      <c r="B20" s="20">
        <v>156</v>
      </c>
      <c r="C20" s="20">
        <v>160</v>
      </c>
      <c r="D20" s="20">
        <v>158</v>
      </c>
    </row>
    <row r="21" spans="1:4" x14ac:dyDescent="0.25">
      <c r="A21" s="4" t="s">
        <v>32</v>
      </c>
      <c r="B21" s="4"/>
      <c r="C21" s="4"/>
      <c r="D21" s="4"/>
    </row>
    <row r="22" spans="1:4" x14ac:dyDescent="0.25">
      <c r="A22" s="20" t="s">
        <v>118</v>
      </c>
      <c r="B22" s="21">
        <v>162</v>
      </c>
      <c r="C22" s="21">
        <v>168</v>
      </c>
      <c r="D22" s="21">
        <v>164</v>
      </c>
    </row>
    <row r="23" spans="1:4" ht="15.75" thickBot="1" x14ac:dyDescent="0.3">
      <c r="A23" s="4" t="s">
        <v>119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4087</v>
      </c>
      <c r="C24" s="24">
        <v>4168</v>
      </c>
      <c r="D24" s="24">
        <v>4139</v>
      </c>
    </row>
    <row r="25" spans="1:4" ht="15.75" thickTop="1" x14ac:dyDescent="0.25">
      <c r="A25" s="4" t="s">
        <v>34</v>
      </c>
      <c r="B25" s="4"/>
      <c r="C25" s="4"/>
      <c r="D25" s="4"/>
    </row>
    <row r="26" spans="1:4" x14ac:dyDescent="0.25">
      <c r="A26" s="20" t="s">
        <v>87</v>
      </c>
      <c r="B26" s="21">
        <v>52518</v>
      </c>
      <c r="C26" s="21">
        <v>54667</v>
      </c>
      <c r="D26" s="21">
        <v>53333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24412</v>
      </c>
      <c r="C28" s="21">
        <v>25501</v>
      </c>
      <c r="D28" s="21">
        <v>24933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18" t="s">
        <v>94</v>
      </c>
      <c r="B30" s="18">
        <v>13.77</v>
      </c>
      <c r="C30" s="18">
        <v>19.11</v>
      </c>
      <c r="D30" s="18">
        <v>16.149999999999999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96.41</v>
      </c>
      <c r="C32" s="25">
        <v>98.45</v>
      </c>
      <c r="D32" s="25">
        <v>96.74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</v>
      </c>
      <c r="C34" s="23">
        <v>1.1930000000000001</v>
      </c>
      <c r="D34" s="23">
        <v>1.1910000000000001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6" t="s">
        <v>115</v>
      </c>
      <c r="B36" s="26">
        <v>153.13</v>
      </c>
      <c r="C36" s="26">
        <v>156.85</v>
      </c>
      <c r="D36" s="26">
        <v>153.51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0" t="s">
        <v>109</v>
      </c>
      <c r="B38" s="20">
        <v>1.3460000000000001</v>
      </c>
      <c r="C38" s="20">
        <v>1.373</v>
      </c>
      <c r="D38" s="20">
        <v>1.373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0.72099999999999997</v>
      </c>
      <c r="C40" s="20">
        <v>0.73299999999999998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59.07</v>
      </c>
      <c r="C42" s="20">
        <v>62.43</v>
      </c>
      <c r="D42" s="20">
        <v>60.63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63.5</v>
      </c>
      <c r="C44" s="20">
        <v>67.2</v>
      </c>
      <c r="D44" s="20">
        <v>65.59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0" t="s">
        <v>55</v>
      </c>
      <c r="B46" s="21">
        <v>4.07</v>
      </c>
      <c r="C46" s="21">
        <v>6.92</v>
      </c>
      <c r="D46" s="21">
        <v>6.8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4786</v>
      </c>
      <c r="C48" s="21">
        <v>5136</v>
      </c>
      <c r="D48" s="21">
        <v>5088</v>
      </c>
    </row>
    <row r="49" spans="1:4" x14ac:dyDescent="0.25">
      <c r="A49" s="4" t="s">
        <v>58</v>
      </c>
      <c r="B49" s="4"/>
      <c r="C49" s="4"/>
      <c r="D49" s="4"/>
    </row>
    <row r="50" spans="1:4" x14ac:dyDescent="0.25">
      <c r="A50" s="20" t="s">
        <v>59</v>
      </c>
      <c r="B50" s="20">
        <v>5.7</v>
      </c>
      <c r="C50" s="20">
        <v>6.15</v>
      </c>
      <c r="D50" s="20">
        <v>5.92</v>
      </c>
    </row>
    <row r="51" spans="1:4" ht="15.75" thickBot="1" x14ac:dyDescent="0.3">
      <c r="A51" s="4" t="s">
        <v>60</v>
      </c>
      <c r="B51" s="4"/>
      <c r="C51" s="4"/>
      <c r="D51" s="4"/>
    </row>
    <row r="52" spans="1:4" ht="16.5" thickTop="1" thickBot="1" x14ac:dyDescent="0.3">
      <c r="A52" s="23" t="s">
        <v>61</v>
      </c>
      <c r="B52" s="23">
        <v>95.01</v>
      </c>
      <c r="C52" s="23">
        <v>116.11</v>
      </c>
      <c r="D52" s="23">
        <v>106.22</v>
      </c>
    </row>
    <row r="53" spans="1:4" ht="15.75" thickTop="1" x14ac:dyDescent="0.25">
      <c r="A53" s="4" t="s">
        <v>62</v>
      </c>
      <c r="B53" s="4"/>
      <c r="C53" s="4"/>
      <c r="D53" s="4"/>
    </row>
    <row r="54" spans="1:4" x14ac:dyDescent="0.25">
      <c r="A54" s="18" t="s">
        <v>63</v>
      </c>
      <c r="B54" s="18">
        <v>440</v>
      </c>
      <c r="C54" s="18">
        <v>475</v>
      </c>
      <c r="D54" s="18">
        <v>470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243</v>
      </c>
      <c r="C56" s="18">
        <v>260</v>
      </c>
      <c r="D56" s="18">
        <v>255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229</v>
      </c>
      <c r="C58" s="20">
        <v>246</v>
      </c>
      <c r="D58" s="20">
        <v>238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18" t="s">
        <v>69</v>
      </c>
      <c r="B60" s="18">
        <v>590</v>
      </c>
      <c r="C60" s="18">
        <v>677</v>
      </c>
      <c r="D60" s="18">
        <v>672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322</v>
      </c>
      <c r="C62" s="20">
        <v>342</v>
      </c>
      <c r="D62" s="20">
        <v>333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82</v>
      </c>
      <c r="C64" s="18">
        <v>89</v>
      </c>
      <c r="D64" s="18">
        <v>86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418</v>
      </c>
      <c r="C66" s="25">
        <v>451</v>
      </c>
      <c r="D66" s="25">
        <v>435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179</v>
      </c>
      <c r="C68" s="20">
        <v>191</v>
      </c>
      <c r="D68" s="20">
        <v>186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165</v>
      </c>
      <c r="C70" s="19">
        <v>191</v>
      </c>
      <c r="D70" s="19">
        <v>182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85107</v>
      </c>
      <c r="C72" s="19">
        <v>90668</v>
      </c>
      <c r="D72" s="19">
        <v>87957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ED1F-DBD9-4466-8BE6-5171CAF8D755}">
  <dimension ref="A1:D73"/>
  <sheetViews>
    <sheetView topLeftCell="A18" workbookViewId="0">
      <selection activeCell="C29" sqref="C29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4.92</v>
      </c>
      <c r="C2" s="20">
        <v>4.78</v>
      </c>
      <c r="D2" s="20">
        <v>4.8600000000000003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4.3099999999999996</v>
      </c>
      <c r="C4" s="20">
        <v>4.16</v>
      </c>
      <c r="D4" s="20">
        <v>4.25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3.5</v>
      </c>
      <c r="D6" s="18">
        <v>3.59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80.930000000000007</v>
      </c>
      <c r="C8" s="20">
        <v>81.33</v>
      </c>
      <c r="D8" s="20">
        <v>81.17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111.1</v>
      </c>
      <c r="D10" s="20">
        <v>110.8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6834</v>
      </c>
      <c r="C12" s="21">
        <v>7026</v>
      </c>
      <c r="D12" s="21">
        <v>6978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23014</v>
      </c>
      <c r="C14" s="24">
        <v>23926</v>
      </c>
      <c r="D14" s="24">
        <v>23817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2626</v>
      </c>
      <c r="C16" s="21">
        <v>2717</v>
      </c>
      <c r="D16" s="21">
        <v>2666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143</v>
      </c>
      <c r="C18" s="20">
        <v>150</v>
      </c>
      <c r="D18" s="20">
        <v>148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163</v>
      </c>
      <c r="C20" s="20">
        <v>168</v>
      </c>
      <c r="D20" s="20">
        <v>165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4101</v>
      </c>
      <c r="C22" s="21">
        <v>4165</v>
      </c>
      <c r="D22" s="21">
        <v>4151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52521</v>
      </c>
      <c r="C24" s="24">
        <v>54404</v>
      </c>
      <c r="D24" s="24">
        <v>53358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24415</v>
      </c>
      <c r="C26" s="21">
        <v>25418</v>
      </c>
      <c r="D26" s="21">
        <v>24894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13.48</v>
      </c>
      <c r="C28" s="19">
        <v>19.100000000000001</v>
      </c>
      <c r="D28" s="19">
        <v>16.350000000000001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95.41</v>
      </c>
      <c r="C30" s="18">
        <v>97.97</v>
      </c>
      <c r="D30" s="18">
        <v>96.13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1.173</v>
      </c>
      <c r="C32" s="23">
        <v>1.204</v>
      </c>
      <c r="D32" s="23">
        <v>1.198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151.5</v>
      </c>
      <c r="C34" s="25">
        <v>156.38</v>
      </c>
      <c r="D34" s="25">
        <v>152.43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1.349</v>
      </c>
      <c r="C36" s="20">
        <v>1.3839999999999999</v>
      </c>
      <c r="D36" s="20">
        <v>1.379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0.72199999999999998</v>
      </c>
      <c r="C38" s="20">
        <v>0.73899999999999999</v>
      </c>
      <c r="D38" s="20">
        <v>0.73699999999999999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59.43</v>
      </c>
      <c r="C40" s="20">
        <v>62.9</v>
      </c>
      <c r="D40" s="20">
        <v>62.57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63.8</v>
      </c>
      <c r="C42" s="20">
        <v>67.98</v>
      </c>
      <c r="D42" s="20">
        <v>67.66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4.33</v>
      </c>
      <c r="C44" s="20">
        <v>7.25</v>
      </c>
      <c r="D44" s="20">
        <v>6.4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4858</v>
      </c>
      <c r="C46" s="21">
        <v>5296</v>
      </c>
      <c r="D46" s="21">
        <v>5266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5.71</v>
      </c>
      <c r="C48" s="21">
        <v>6.17</v>
      </c>
      <c r="D48" s="21">
        <v>5.95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98</v>
      </c>
      <c r="C50" s="20">
        <v>115</v>
      </c>
      <c r="D50" s="20">
        <v>111.2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3" t="s">
        <v>133</v>
      </c>
      <c r="B52" s="23">
        <v>220</v>
      </c>
      <c r="C52" s="23">
        <v>267</v>
      </c>
      <c r="D52" s="23">
        <v>237.78</v>
      </c>
    </row>
    <row r="53" spans="1:4" ht="15.75" thickTop="1" x14ac:dyDescent="0.25">
      <c r="A53" s="4" t="s">
        <v>134</v>
      </c>
      <c r="B53" s="4"/>
      <c r="C53" s="4"/>
      <c r="D53" s="4"/>
    </row>
    <row r="54" spans="1:4" x14ac:dyDescent="0.25">
      <c r="A54" s="18" t="s">
        <v>63</v>
      </c>
      <c r="B54" s="18">
        <v>444</v>
      </c>
      <c r="C54" s="18">
        <v>484</v>
      </c>
      <c r="D54" s="18">
        <v>481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242</v>
      </c>
      <c r="C56" s="18">
        <v>263</v>
      </c>
      <c r="D56" s="18">
        <v>258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231</v>
      </c>
      <c r="C58" s="20">
        <v>249</v>
      </c>
      <c r="D58" s="20">
        <v>245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26" t="s">
        <v>135</v>
      </c>
      <c r="B60" s="26">
        <v>591</v>
      </c>
      <c r="C60" s="26">
        <v>681</v>
      </c>
      <c r="D60" s="26">
        <v>673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323</v>
      </c>
      <c r="C62" s="20">
        <v>342</v>
      </c>
      <c r="D62" s="20">
        <v>335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82</v>
      </c>
      <c r="C64" s="18">
        <v>88</v>
      </c>
      <c r="D64" s="18">
        <v>86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414</v>
      </c>
      <c r="C66" s="25">
        <v>449</v>
      </c>
      <c r="D66" s="25">
        <v>431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180</v>
      </c>
      <c r="C68" s="20">
        <v>193</v>
      </c>
      <c r="D68" s="20">
        <v>189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166</v>
      </c>
      <c r="C70" s="19">
        <v>190</v>
      </c>
      <c r="D70" s="19">
        <v>175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86112</v>
      </c>
      <c r="C72" s="19">
        <v>90667</v>
      </c>
      <c r="D72" s="19">
        <v>89736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05D-2138-4A06-B3EC-4E9F0C7D7C79}">
  <dimension ref="A1:D73"/>
  <sheetViews>
    <sheetView workbookViewId="0">
      <selection sqref="A1:D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4.92</v>
      </c>
      <c r="C2" s="20">
        <v>4.79</v>
      </c>
      <c r="D2" s="20">
        <v>4.8499999999999996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4.3099999999999996</v>
      </c>
      <c r="C4" s="20">
        <v>4.16</v>
      </c>
      <c r="D4" s="20">
        <v>4.25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3.51</v>
      </c>
      <c r="D6" s="18">
        <v>3.58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80.91</v>
      </c>
      <c r="C8" s="20">
        <v>81.3</v>
      </c>
      <c r="D8" s="20">
        <v>81.040000000000006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</v>
      </c>
      <c r="C10" s="20">
        <v>111</v>
      </c>
      <c r="D10" s="20">
        <v>110.7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6876</v>
      </c>
      <c r="C12" s="21">
        <v>7039</v>
      </c>
      <c r="D12" s="21">
        <v>6978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23054</v>
      </c>
      <c r="C14" s="24">
        <v>24036</v>
      </c>
      <c r="D14" s="24">
        <v>23857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2629</v>
      </c>
      <c r="C16" s="21">
        <v>2727</v>
      </c>
      <c r="D16" s="21">
        <v>2653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144</v>
      </c>
      <c r="C18" s="20">
        <v>152</v>
      </c>
      <c r="D18" s="20">
        <v>149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162</v>
      </c>
      <c r="C20" s="20">
        <v>168</v>
      </c>
      <c r="D20" s="20">
        <v>164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4090</v>
      </c>
      <c r="C22" s="21">
        <v>4163</v>
      </c>
      <c r="D22" s="21">
        <v>4157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52509</v>
      </c>
      <c r="C24" s="24">
        <v>54300</v>
      </c>
      <c r="D24" s="24">
        <v>53375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24493</v>
      </c>
      <c r="C26" s="21">
        <v>25308</v>
      </c>
      <c r="D26" s="21">
        <v>24822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13.81</v>
      </c>
      <c r="C28" s="19">
        <v>19.059999999999999</v>
      </c>
      <c r="D28" s="19">
        <v>16.350000000000001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95.51</v>
      </c>
      <c r="C30" s="18">
        <v>98.01</v>
      </c>
      <c r="D30" s="18">
        <v>96.37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1.175</v>
      </c>
      <c r="C32" s="23">
        <v>1.206</v>
      </c>
      <c r="D32" s="23">
        <v>1.1950000000000001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151.07</v>
      </c>
      <c r="C34" s="25">
        <v>156.22</v>
      </c>
      <c r="D34" s="25">
        <v>153.38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1.351</v>
      </c>
      <c r="C36" s="20">
        <v>1.39</v>
      </c>
      <c r="D36" s="20">
        <v>1.38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0.72299999999999998</v>
      </c>
      <c r="C38" s="20">
        <v>0.74</v>
      </c>
      <c r="D38" s="20">
        <v>0.73799999999999999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59.89</v>
      </c>
      <c r="C40" s="20">
        <v>65.3</v>
      </c>
      <c r="D40" s="20">
        <v>63.21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64.06</v>
      </c>
      <c r="C42" s="20">
        <v>69.3</v>
      </c>
      <c r="D42" s="20">
        <v>68.400000000000006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3.52</v>
      </c>
      <c r="C44" s="20">
        <v>6.8</v>
      </c>
      <c r="D44" s="20">
        <v>3.76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4993</v>
      </c>
      <c r="C46" s="21">
        <v>5548</v>
      </c>
      <c r="D46" s="21">
        <v>5534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5.76</v>
      </c>
      <c r="C48" s="21">
        <v>6.35</v>
      </c>
      <c r="D48" s="21">
        <v>6.01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99</v>
      </c>
      <c r="C50" s="20">
        <v>121</v>
      </c>
      <c r="D50" s="20">
        <v>118.4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3" t="s">
        <v>133</v>
      </c>
      <c r="B52" s="23">
        <v>222</v>
      </c>
      <c r="C52" s="23">
        <v>263</v>
      </c>
      <c r="D52" s="23">
        <v>245.16</v>
      </c>
    </row>
    <row r="53" spans="1:4" ht="15.75" thickTop="1" x14ac:dyDescent="0.25">
      <c r="A53" s="4" t="s">
        <v>134</v>
      </c>
      <c r="B53" s="4"/>
      <c r="C53" s="4"/>
      <c r="D53" s="4"/>
    </row>
    <row r="54" spans="1:4" x14ac:dyDescent="0.25">
      <c r="A54" s="18" t="s">
        <v>63</v>
      </c>
      <c r="B54" s="18">
        <v>432</v>
      </c>
      <c r="C54" s="18">
        <v>483</v>
      </c>
      <c r="D54" s="18">
        <v>482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241</v>
      </c>
      <c r="C56" s="18">
        <v>261</v>
      </c>
      <c r="D56" s="18">
        <v>256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232</v>
      </c>
      <c r="C58" s="20">
        <v>249</v>
      </c>
      <c r="D58" s="20">
        <v>243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20" t="s">
        <v>136</v>
      </c>
      <c r="B60" s="20">
        <v>605</v>
      </c>
      <c r="C60" s="20">
        <v>730</v>
      </c>
      <c r="D60" s="20">
        <v>669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324</v>
      </c>
      <c r="C62" s="20">
        <v>346</v>
      </c>
      <c r="D62" s="20">
        <v>336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81</v>
      </c>
      <c r="C64" s="18">
        <v>88</v>
      </c>
      <c r="D64" s="18">
        <v>85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3" t="s">
        <v>95</v>
      </c>
      <c r="B66" s="23">
        <v>421</v>
      </c>
      <c r="C66" s="23">
        <v>467</v>
      </c>
      <c r="D66" s="23">
        <v>431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183</v>
      </c>
      <c r="C68" s="20">
        <v>196</v>
      </c>
      <c r="D68" s="20">
        <v>192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166</v>
      </c>
      <c r="C70" s="19">
        <v>189</v>
      </c>
      <c r="D70" s="19">
        <v>173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85856</v>
      </c>
      <c r="C72" s="19">
        <v>90331</v>
      </c>
      <c r="D72" s="19">
        <v>87844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CE18-FAAE-4863-BBF0-B95CDE7B154D}">
  <dimension ref="A1:D73"/>
  <sheetViews>
    <sheetView topLeftCell="A27" workbookViewId="0">
      <selection activeCell="C63" sqref="C63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4.91</v>
      </c>
      <c r="C2" s="20">
        <v>4.79</v>
      </c>
      <c r="D2" s="20">
        <v>4.8600000000000003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</v>
      </c>
      <c r="C4" s="20">
        <v>4.17</v>
      </c>
      <c r="D4" s="20">
        <v>4.24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3.52</v>
      </c>
      <c r="D6" s="18">
        <v>3.57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80.86</v>
      </c>
      <c r="C8" s="20">
        <v>81.31</v>
      </c>
      <c r="D8" s="20">
        <v>81.03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110.2</v>
      </c>
      <c r="C10" s="20">
        <v>111.1</v>
      </c>
      <c r="D10" s="20">
        <v>110.7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6845</v>
      </c>
      <c r="C12" s="21">
        <v>7037</v>
      </c>
      <c r="D12" s="21">
        <v>6969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23061</v>
      </c>
      <c r="C14" s="24">
        <v>24067</v>
      </c>
      <c r="D14" s="24">
        <v>23685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2622</v>
      </c>
      <c r="C16" s="21">
        <v>2726</v>
      </c>
      <c r="D16" s="21">
        <v>2654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151</v>
      </c>
      <c r="D18" s="20">
        <v>147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162</v>
      </c>
      <c r="C20" s="20">
        <v>168</v>
      </c>
      <c r="D20" s="20">
        <v>166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4092</v>
      </c>
      <c r="C22" s="21">
        <v>4165</v>
      </c>
      <c r="D22" s="21">
        <v>4117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52399</v>
      </c>
      <c r="C24" s="24">
        <v>54201</v>
      </c>
      <c r="D24" s="24">
        <v>53322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24211</v>
      </c>
      <c r="C26" s="21">
        <v>25195</v>
      </c>
      <c r="D26" s="21">
        <v>24309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14.03</v>
      </c>
      <c r="C28" s="19">
        <v>19.32</v>
      </c>
      <c r="D28" s="19">
        <v>16.88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95.4</v>
      </c>
      <c r="C30" s="18">
        <v>97.98</v>
      </c>
      <c r="D30" s="18">
        <v>96.43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1.1759999999999999</v>
      </c>
      <c r="C32" s="23">
        <v>1.2070000000000001</v>
      </c>
      <c r="D32" s="23">
        <v>1.194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151.9</v>
      </c>
      <c r="C34" s="25">
        <v>156.13999999999999</v>
      </c>
      <c r="D34" s="25">
        <v>153.91999999999999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1.3520000000000001</v>
      </c>
      <c r="C36" s="20">
        <v>1.393</v>
      </c>
      <c r="D36" s="20">
        <v>1.3779999999999999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0.72499999999999998</v>
      </c>
      <c r="C38" s="20">
        <v>0.74399999999999999</v>
      </c>
      <c r="D38" s="20">
        <v>0.74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60.12</v>
      </c>
      <c r="C40" s="20">
        <v>65.72</v>
      </c>
      <c r="D40" s="20">
        <v>65.42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64.33</v>
      </c>
      <c r="C42" s="20">
        <v>70.91</v>
      </c>
      <c r="D42" s="20">
        <v>70.709999999999994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0" t="s">
        <v>55</v>
      </c>
      <c r="B44" s="20">
        <v>3.5</v>
      </c>
      <c r="C44" s="20">
        <v>5.1100000000000003</v>
      </c>
      <c r="D44" s="20">
        <v>3.92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5008</v>
      </c>
      <c r="C46" s="21">
        <v>5574</v>
      </c>
      <c r="D46" s="21">
        <v>5115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5.79</v>
      </c>
      <c r="C48" s="21">
        <v>6.38</v>
      </c>
      <c r="D48" s="21">
        <v>6.37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94</v>
      </c>
      <c r="C50" s="20">
        <v>124</v>
      </c>
      <c r="D50" s="20">
        <v>117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3" t="s">
        <v>133</v>
      </c>
      <c r="B52" s="23">
        <v>210</v>
      </c>
      <c r="C52" s="23">
        <v>258</v>
      </c>
      <c r="D52" s="23">
        <v>239.13</v>
      </c>
    </row>
    <row r="53" spans="1:4" ht="15.75" thickTop="1" x14ac:dyDescent="0.25">
      <c r="A53" s="4" t="s">
        <v>134</v>
      </c>
      <c r="B53" s="4"/>
      <c r="C53" s="4"/>
      <c r="D53" s="4"/>
    </row>
    <row r="54" spans="1:4" x14ac:dyDescent="0.25">
      <c r="A54" s="18" t="s">
        <v>63</v>
      </c>
      <c r="B54" s="18">
        <v>426</v>
      </c>
      <c r="C54" s="18">
        <v>461</v>
      </c>
      <c r="D54" s="18">
        <v>434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242</v>
      </c>
      <c r="C56" s="18">
        <v>262</v>
      </c>
      <c r="D56" s="18">
        <v>258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231</v>
      </c>
      <c r="C58" s="20">
        <v>249</v>
      </c>
      <c r="D58" s="20">
        <v>242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20" t="s">
        <v>136</v>
      </c>
      <c r="B60" s="20">
        <v>664</v>
      </c>
      <c r="C60" s="20">
        <v>758</v>
      </c>
      <c r="D60" s="20">
        <v>738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325</v>
      </c>
      <c r="C62" s="20">
        <v>345</v>
      </c>
      <c r="D62" s="20">
        <v>338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81</v>
      </c>
      <c r="C64" s="18">
        <v>87</v>
      </c>
      <c r="D64" s="18">
        <v>83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392</v>
      </c>
      <c r="C66" s="25">
        <v>442</v>
      </c>
      <c r="D66" s="25">
        <v>417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183</v>
      </c>
      <c r="C68" s="20">
        <v>197</v>
      </c>
      <c r="D68" s="20">
        <v>193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163</v>
      </c>
      <c r="C70" s="19">
        <v>182</v>
      </c>
      <c r="D70" s="19">
        <v>169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81993</v>
      </c>
      <c r="C72" s="19">
        <v>89502</v>
      </c>
      <c r="D72" s="19">
        <v>82654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C389-E722-41B6-89AB-6B3697BF42B8}">
  <dimension ref="A1:D73"/>
  <sheetViews>
    <sheetView topLeftCell="A24" workbookViewId="0">
      <selection activeCell="A24" sqref="A1:D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4.91</v>
      </c>
      <c r="C2" s="20">
        <v>4.78</v>
      </c>
      <c r="D2" s="20">
        <v>4.88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6" t="s">
        <v>130</v>
      </c>
      <c r="B4" s="26">
        <v>4.28</v>
      </c>
      <c r="C4" s="26">
        <v>4.17</v>
      </c>
      <c r="D4" s="26">
        <v>4.24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</v>
      </c>
      <c r="C6" s="18">
        <v>3.5</v>
      </c>
      <c r="D6" s="18">
        <v>3.54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80.87</v>
      </c>
      <c r="C8" s="20">
        <v>81.319999999999993</v>
      </c>
      <c r="D8" s="20">
        <v>81.12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110.1</v>
      </c>
      <c r="C10" s="20">
        <v>111.1</v>
      </c>
      <c r="D10" s="20">
        <v>110.6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6846</v>
      </c>
      <c r="C12" s="21">
        <v>7039</v>
      </c>
      <c r="D12" s="21">
        <v>6939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23059</v>
      </c>
      <c r="C14" s="24">
        <v>24045</v>
      </c>
      <c r="D14" s="24">
        <v>23461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2581</v>
      </c>
      <c r="C16" s="21">
        <v>2715</v>
      </c>
      <c r="D16" s="21">
        <v>2613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6" t="s">
        <v>89</v>
      </c>
      <c r="B18" s="26">
        <v>140</v>
      </c>
      <c r="C18" s="26">
        <v>147</v>
      </c>
      <c r="D18" s="26">
        <v>144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162</v>
      </c>
      <c r="C20" s="20">
        <v>167</v>
      </c>
      <c r="D20" s="20">
        <v>165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6" t="s">
        <v>93</v>
      </c>
      <c r="B22" s="28">
        <v>3978</v>
      </c>
      <c r="C22" s="28">
        <v>4132</v>
      </c>
      <c r="D22" s="28">
        <v>4015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52447</v>
      </c>
      <c r="C24" s="24">
        <v>53994</v>
      </c>
      <c r="D24" s="24">
        <v>52655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24312</v>
      </c>
      <c r="C26" s="21">
        <v>25146</v>
      </c>
      <c r="D26" s="21">
        <v>24538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14.26</v>
      </c>
      <c r="C28" s="19">
        <v>20.079999999999998</v>
      </c>
      <c r="D28" s="19">
        <v>17.440000000000001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95.64</v>
      </c>
      <c r="C30" s="18">
        <v>97.99</v>
      </c>
      <c r="D30" s="18">
        <v>97.18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</v>
      </c>
      <c r="C32" s="23">
        <v>1.206</v>
      </c>
      <c r="D32" s="23">
        <v>1.1850000000000001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151.5</v>
      </c>
      <c r="C34" s="25">
        <v>156.11000000000001</v>
      </c>
      <c r="D34" s="25">
        <v>154.93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1.3540000000000001</v>
      </c>
      <c r="C36" s="20">
        <v>1.3939999999999999</v>
      </c>
      <c r="D36" s="20">
        <v>1.369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0.72599999999999998</v>
      </c>
      <c r="C38" s="20">
        <v>0.74399999999999999</v>
      </c>
      <c r="D38" s="20">
        <v>0.73299999999999998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60.14</v>
      </c>
      <c r="C40" s="20">
        <v>66.44</v>
      </c>
      <c r="D40" s="20">
        <v>65.739999999999995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64.8</v>
      </c>
      <c r="C42" s="20">
        <v>70.98</v>
      </c>
      <c r="D42" s="20">
        <v>69.819999999999993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26" t="s">
        <v>114</v>
      </c>
      <c r="B44" s="26">
        <v>3.21</v>
      </c>
      <c r="C44" s="26">
        <v>5.04</v>
      </c>
      <c r="D44" s="26">
        <v>4.42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4601</v>
      </c>
      <c r="C46" s="21">
        <v>5539</v>
      </c>
      <c r="D46" s="21">
        <v>4772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5.75</v>
      </c>
      <c r="C48" s="21">
        <v>6.22</v>
      </c>
      <c r="D48" s="21">
        <v>5.97</v>
      </c>
    </row>
    <row r="49" spans="1:4" x14ac:dyDescent="0.25">
      <c r="A49" s="4" t="s">
        <v>60</v>
      </c>
      <c r="B49" s="4"/>
      <c r="C49" s="4"/>
      <c r="D49" s="4"/>
    </row>
    <row r="50" spans="1:4" x14ac:dyDescent="0.25">
      <c r="A50" s="20" t="s">
        <v>61</v>
      </c>
      <c r="B50" s="20">
        <v>78</v>
      </c>
      <c r="C50" s="20">
        <v>120</v>
      </c>
      <c r="D50" s="20">
        <v>84.63</v>
      </c>
    </row>
    <row r="51" spans="1:4" ht="15.75" thickBot="1" x14ac:dyDescent="0.3">
      <c r="A51" s="4" t="s">
        <v>62</v>
      </c>
      <c r="B51" s="4"/>
      <c r="C51" s="4"/>
      <c r="D51" s="4"/>
    </row>
    <row r="52" spans="1:4" ht="16.5" thickTop="1" thickBot="1" x14ac:dyDescent="0.3">
      <c r="A52" s="23" t="s">
        <v>133</v>
      </c>
      <c r="B52" s="23">
        <v>180</v>
      </c>
      <c r="C52" s="23">
        <v>260</v>
      </c>
      <c r="D52" s="23">
        <v>195.04</v>
      </c>
    </row>
    <row r="53" spans="1:4" ht="15.75" thickTop="1" x14ac:dyDescent="0.25">
      <c r="A53" s="4" t="s">
        <v>134</v>
      </c>
      <c r="B53" s="4"/>
      <c r="C53" s="4"/>
      <c r="D53" s="4"/>
    </row>
    <row r="54" spans="1:4" x14ac:dyDescent="0.25">
      <c r="A54" s="18" t="s">
        <v>63</v>
      </c>
      <c r="B54" s="18">
        <v>420</v>
      </c>
      <c r="C54" s="18">
        <v>458</v>
      </c>
      <c r="D54" s="18">
        <v>430</v>
      </c>
    </row>
    <row r="55" spans="1:4" x14ac:dyDescent="0.25">
      <c r="A55" s="4" t="s">
        <v>64</v>
      </c>
      <c r="B55" s="4"/>
      <c r="C55" s="4"/>
      <c r="D55" s="4"/>
    </row>
    <row r="56" spans="1:4" x14ac:dyDescent="0.25">
      <c r="A56" s="18" t="s">
        <v>121</v>
      </c>
      <c r="B56" s="18">
        <v>244</v>
      </c>
      <c r="C56" s="18">
        <v>262</v>
      </c>
      <c r="D56" s="18">
        <v>259</v>
      </c>
    </row>
    <row r="57" spans="1:4" x14ac:dyDescent="0.25">
      <c r="A57" s="4" t="s">
        <v>66</v>
      </c>
      <c r="B57" s="4"/>
      <c r="C57" s="4"/>
      <c r="D57" s="4"/>
    </row>
    <row r="58" spans="1:4" x14ac:dyDescent="0.25">
      <c r="A58" s="20" t="s">
        <v>99</v>
      </c>
      <c r="B58" s="20">
        <v>231</v>
      </c>
      <c r="C58" s="20">
        <v>247</v>
      </c>
      <c r="D58" s="20">
        <v>239</v>
      </c>
    </row>
    <row r="59" spans="1:4" x14ac:dyDescent="0.25">
      <c r="A59" s="4" t="s">
        <v>68</v>
      </c>
      <c r="B59" s="4"/>
      <c r="C59" s="4"/>
      <c r="D59" s="4"/>
    </row>
    <row r="60" spans="1:4" x14ac:dyDescent="0.25">
      <c r="A60" s="20" t="s">
        <v>136</v>
      </c>
      <c r="B60" s="20">
        <v>660</v>
      </c>
      <c r="C60" s="20">
        <v>750</v>
      </c>
      <c r="D60" s="20">
        <v>717</v>
      </c>
    </row>
    <row r="61" spans="1:4" x14ac:dyDescent="0.25">
      <c r="A61" t="s">
        <v>70</v>
      </c>
    </row>
    <row r="62" spans="1:4" x14ac:dyDescent="0.25">
      <c r="A62" s="20" t="s">
        <v>71</v>
      </c>
      <c r="B62" s="20">
        <v>324</v>
      </c>
      <c r="C62" s="20">
        <v>344</v>
      </c>
      <c r="D62" s="20">
        <v>338</v>
      </c>
    </row>
    <row r="63" spans="1:4" x14ac:dyDescent="0.25">
      <c r="A63" s="4" t="s">
        <v>72</v>
      </c>
      <c r="B63" s="4"/>
      <c r="C63" s="4"/>
      <c r="D63" s="4"/>
    </row>
    <row r="64" spans="1:4" x14ac:dyDescent="0.25">
      <c r="A64" s="18" t="s">
        <v>73</v>
      </c>
      <c r="B64" s="18">
        <v>81</v>
      </c>
      <c r="C64" s="18">
        <v>87</v>
      </c>
      <c r="D64" s="18">
        <v>83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399</v>
      </c>
      <c r="C66" s="25">
        <v>448</v>
      </c>
      <c r="D66" s="25">
        <v>430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182</v>
      </c>
      <c r="C68" s="20">
        <v>195</v>
      </c>
      <c r="D68" s="20">
        <v>191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160</v>
      </c>
      <c r="C70" s="19">
        <v>181</v>
      </c>
      <c r="D70" s="19">
        <v>165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74409</v>
      </c>
      <c r="C72" s="19">
        <v>84876</v>
      </c>
      <c r="D72" s="19">
        <v>78035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482B-FD7A-4741-80BD-DEA84D03B0D2}">
  <dimension ref="A1:E73"/>
  <sheetViews>
    <sheetView workbookViewId="0">
      <selection sqref="A1:E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4.9400000000000004</v>
      </c>
      <c r="C2" s="20">
        <v>4.8</v>
      </c>
      <c r="D2" s="20">
        <v>4.92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4.3099999999999996</v>
      </c>
      <c r="C4" s="20">
        <v>4.2</v>
      </c>
      <c r="D4" s="20">
        <v>4.28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3.52</v>
      </c>
      <c r="D6" s="18">
        <v>3.59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80.650000000000006</v>
      </c>
      <c r="C8" s="20">
        <v>80.91</v>
      </c>
      <c r="D8" s="20">
        <v>80.77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109.9</v>
      </c>
      <c r="C10" s="20">
        <v>110.7</v>
      </c>
      <c r="D10" s="20">
        <v>110.1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6906</v>
      </c>
      <c r="C12" s="21">
        <v>7032</v>
      </c>
      <c r="D12" s="21">
        <v>6976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23103</v>
      </c>
      <c r="C14" s="24">
        <v>23987</v>
      </c>
      <c r="D14" s="24">
        <v>23592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2613</v>
      </c>
      <c r="C16" s="21">
        <v>2727</v>
      </c>
      <c r="D16" s="21">
        <v>2640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20" t="s">
        <v>92</v>
      </c>
      <c r="B18" s="20">
        <v>142</v>
      </c>
      <c r="C18" s="20">
        <v>149</v>
      </c>
      <c r="D18" s="20">
        <v>145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164</v>
      </c>
      <c r="C20" s="20">
        <v>169</v>
      </c>
      <c r="D20" s="20">
        <v>168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6" t="s">
        <v>93</v>
      </c>
      <c r="B22" s="28">
        <v>4001</v>
      </c>
      <c r="C22" s="28">
        <v>4121</v>
      </c>
      <c r="D22" s="28">
        <v>4067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52491</v>
      </c>
      <c r="C24" s="24">
        <v>54811</v>
      </c>
      <c r="D24" s="24">
        <v>54720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24343</v>
      </c>
      <c r="C26" s="21">
        <v>25239</v>
      </c>
      <c r="D26" s="21">
        <v>24797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14.49</v>
      </c>
      <c r="C28" s="19">
        <v>17.97</v>
      </c>
      <c r="D28" s="19">
        <v>16.34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95.71</v>
      </c>
      <c r="C30" s="18">
        <v>98.38</v>
      </c>
      <c r="D30" s="18">
        <v>97.58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</v>
      </c>
      <c r="C32" s="23">
        <v>1.2030000000000001</v>
      </c>
      <c r="D32" s="23">
        <v>1.18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152.54</v>
      </c>
      <c r="C34" s="23">
        <v>158.21</v>
      </c>
      <c r="D34" s="23">
        <v>155.91999999999999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1.3520000000000001</v>
      </c>
      <c r="C36" s="20">
        <v>1.3859999999999999</v>
      </c>
      <c r="D36" s="20">
        <v>1.367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0.72399999999999998</v>
      </c>
      <c r="C38" s="20">
        <v>0.74099999999999999</v>
      </c>
      <c r="D38" s="20">
        <v>0.73099999999999998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60.2</v>
      </c>
      <c r="C40" s="20">
        <v>66.28</v>
      </c>
      <c r="D40" s="20">
        <v>62.33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64.33</v>
      </c>
      <c r="C42" s="20">
        <v>70.63</v>
      </c>
      <c r="D42" s="20">
        <v>66.459999999999994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3.05</v>
      </c>
      <c r="C44" s="18">
        <v>4.0599999999999996</v>
      </c>
      <c r="D44" s="18">
        <v>3.27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4628</v>
      </c>
      <c r="C46" s="21">
        <v>5505</v>
      </c>
      <c r="D46" s="21">
        <v>4914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5.75</v>
      </c>
      <c r="C48" s="21">
        <v>6.22</v>
      </c>
      <c r="D48" s="21">
        <v>5.84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76</v>
      </c>
      <c r="C50" s="20">
        <v>124</v>
      </c>
      <c r="D50" s="20">
        <v>80.650000000000006</v>
      </c>
      <c r="E50" t="s">
        <v>146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191</v>
      </c>
      <c r="C52" s="23">
        <v>261</v>
      </c>
      <c r="D52" s="23">
        <v>194.64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410</v>
      </c>
      <c r="C54" s="18">
        <v>453</v>
      </c>
      <c r="D54" s="18">
        <v>423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246</v>
      </c>
      <c r="C56" s="20">
        <v>274</v>
      </c>
      <c r="D56" s="20">
        <v>270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20" t="s">
        <v>99</v>
      </c>
      <c r="B58" s="20">
        <v>232</v>
      </c>
      <c r="C58" s="20">
        <v>248</v>
      </c>
      <c r="D58" s="20">
        <v>243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663</v>
      </c>
      <c r="C60" s="20">
        <v>747</v>
      </c>
      <c r="D60" s="20">
        <v>706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325</v>
      </c>
      <c r="C62" s="20">
        <v>350</v>
      </c>
      <c r="D62" s="20">
        <v>344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80</v>
      </c>
      <c r="C64" s="18">
        <v>86</v>
      </c>
      <c r="D64" s="18">
        <v>83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408</v>
      </c>
      <c r="C66" s="25">
        <v>445</v>
      </c>
      <c r="D66" s="25">
        <v>422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180</v>
      </c>
      <c r="C68" s="20">
        <v>194</v>
      </c>
      <c r="D68" s="20">
        <v>186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156</v>
      </c>
      <c r="C70" s="19">
        <v>182</v>
      </c>
      <c r="D70" s="19">
        <v>160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73408</v>
      </c>
      <c r="C72" s="19">
        <v>84079</v>
      </c>
      <c r="D72" s="19">
        <v>78275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46E0-EAC0-4550-86BC-25AE160A1C05}">
  <dimension ref="A1:E73"/>
  <sheetViews>
    <sheetView topLeftCell="A25" workbookViewId="0">
      <selection activeCell="A25" sqref="A1:E1048576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4.9400000000000004</v>
      </c>
      <c r="C2" s="20">
        <v>4.82</v>
      </c>
      <c r="D2" s="20">
        <v>4.9000000000000004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</v>
      </c>
      <c r="C4" s="20">
        <v>4.1900000000000004</v>
      </c>
      <c r="D4" s="20">
        <v>4.2699999999999996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3.62</v>
      </c>
      <c r="C6" s="18">
        <v>3.52</v>
      </c>
      <c r="D6" s="18">
        <v>3.58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80.61</v>
      </c>
      <c r="C8" s="20">
        <v>80.91</v>
      </c>
      <c r="D8" s="20">
        <v>80.72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0" t="s">
        <v>21</v>
      </c>
      <c r="B10" s="20">
        <v>109.7</v>
      </c>
      <c r="C10" s="20">
        <v>110.7</v>
      </c>
      <c r="D10" s="20">
        <v>110.1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6874</v>
      </c>
      <c r="C12" s="21">
        <v>7021</v>
      </c>
      <c r="D12" s="21">
        <v>6917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3" t="s">
        <v>85</v>
      </c>
      <c r="B14" s="24">
        <v>23087</v>
      </c>
      <c r="C14" s="24">
        <v>23958</v>
      </c>
      <c r="D14" s="24">
        <v>23255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2605</v>
      </c>
      <c r="C16" s="21">
        <v>2715</v>
      </c>
      <c r="D16" s="21">
        <v>2648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139</v>
      </c>
      <c r="C18" s="18">
        <v>147</v>
      </c>
      <c r="D18" s="18">
        <v>142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165</v>
      </c>
      <c r="C20" s="20">
        <v>170</v>
      </c>
      <c r="D20" s="20">
        <v>169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4015</v>
      </c>
      <c r="C22" s="21">
        <v>4157</v>
      </c>
      <c r="D22" s="21">
        <v>4102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52632</v>
      </c>
      <c r="C24" s="24">
        <v>54750</v>
      </c>
      <c r="D24" s="24">
        <v>54293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24364</v>
      </c>
      <c r="C26" s="21">
        <v>25147</v>
      </c>
      <c r="D26" s="21">
        <v>24780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15.02</v>
      </c>
      <c r="C28" s="19">
        <v>18.989999999999998</v>
      </c>
      <c r="D28" s="19">
        <v>18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95.73</v>
      </c>
      <c r="C30" s="18">
        <v>98.01</v>
      </c>
      <c r="D30" s="18">
        <v>97.45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1.171</v>
      </c>
      <c r="C32" s="23">
        <v>1.2030000000000001</v>
      </c>
      <c r="D32" s="23">
        <v>1.1819999999999999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152.59</v>
      </c>
      <c r="C34" s="23">
        <v>158.01</v>
      </c>
      <c r="D34" s="23">
        <v>156.66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1.355</v>
      </c>
      <c r="C36" s="20">
        <v>1.3839999999999999</v>
      </c>
      <c r="D36" s="20">
        <v>1.3720000000000001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0.72499999999999998</v>
      </c>
      <c r="C38" s="20">
        <v>0.74</v>
      </c>
      <c r="D38" s="20">
        <v>0.73199999999999998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60.82</v>
      </c>
      <c r="C40" s="20">
        <v>66.569999999999993</v>
      </c>
      <c r="D40" s="20">
        <v>63.9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65.03</v>
      </c>
      <c r="C42" s="20">
        <v>70.78</v>
      </c>
      <c r="D42" s="20">
        <v>68.010000000000005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2.76</v>
      </c>
      <c r="C44" s="18">
        <v>4.34</v>
      </c>
      <c r="D44" s="18">
        <v>3.36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4660</v>
      </c>
      <c r="C46" s="21">
        <v>5511</v>
      </c>
      <c r="D46" s="21">
        <v>5052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5.75</v>
      </c>
      <c r="C48" s="21">
        <v>6.22</v>
      </c>
      <c r="D48" s="21">
        <v>6.08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79</v>
      </c>
      <c r="C50" s="20">
        <v>128</v>
      </c>
      <c r="D50" s="20">
        <v>84.74</v>
      </c>
      <c r="E50" t="s">
        <v>147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194</v>
      </c>
      <c r="C52" s="23">
        <v>267</v>
      </c>
      <c r="D52" s="23">
        <v>202.59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396</v>
      </c>
      <c r="C54" s="18">
        <v>448</v>
      </c>
      <c r="D54" s="18">
        <v>411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258</v>
      </c>
      <c r="C56" s="20">
        <v>274</v>
      </c>
      <c r="D56" s="20">
        <v>269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20" t="s">
        <v>99</v>
      </c>
      <c r="B58" s="20">
        <v>233</v>
      </c>
      <c r="C58" s="20">
        <v>247</v>
      </c>
      <c r="D58" s="20">
        <v>239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667</v>
      </c>
      <c r="C60" s="20">
        <v>744</v>
      </c>
      <c r="D60" s="20">
        <v>692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326</v>
      </c>
      <c r="C62" s="20">
        <v>349</v>
      </c>
      <c r="D62" s="20">
        <v>340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77</v>
      </c>
      <c r="C64" s="18">
        <v>84</v>
      </c>
      <c r="D64" s="18">
        <v>80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406</v>
      </c>
      <c r="C66" s="25">
        <v>438</v>
      </c>
      <c r="D66" s="25">
        <v>422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176</v>
      </c>
      <c r="C68" s="18">
        <v>186</v>
      </c>
      <c r="D68" s="18">
        <v>180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151</v>
      </c>
      <c r="C70" s="19">
        <v>169</v>
      </c>
      <c r="D70" s="19">
        <v>155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70197</v>
      </c>
      <c r="C72" s="19">
        <v>81495</v>
      </c>
      <c r="D72" s="19">
        <v>76039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2E44-A83C-4587-A385-62B01D4CBFC4}">
  <dimension ref="A1:E73"/>
  <sheetViews>
    <sheetView topLeftCell="A19" workbookViewId="0">
      <selection activeCell="C39" sqref="C39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4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4" x14ac:dyDescent="0.25">
      <c r="A2" s="20" t="s">
        <v>108</v>
      </c>
      <c r="B2" s="20">
        <v>4.96</v>
      </c>
      <c r="C2" s="20">
        <v>4.83</v>
      </c>
      <c r="D2" s="20">
        <v>4.92</v>
      </c>
    </row>
    <row r="3" spans="1:4" x14ac:dyDescent="0.25">
      <c r="A3" s="4" t="s">
        <v>14</v>
      </c>
      <c r="B3" s="4"/>
      <c r="C3" s="4"/>
      <c r="D3" s="4"/>
    </row>
    <row r="4" spans="1:4" x14ac:dyDescent="0.25">
      <c r="A4" s="20" t="s">
        <v>127</v>
      </c>
      <c r="B4" s="20">
        <v>4.3</v>
      </c>
      <c r="C4" s="20">
        <v>4.2</v>
      </c>
      <c r="D4" s="20">
        <v>4.28</v>
      </c>
    </row>
    <row r="5" spans="1:4" x14ac:dyDescent="0.25">
      <c r="A5" s="4" t="s">
        <v>16</v>
      </c>
      <c r="B5" s="4"/>
      <c r="C5" s="4"/>
      <c r="D5" s="4"/>
    </row>
    <row r="6" spans="1:4" x14ac:dyDescent="0.25">
      <c r="A6" s="18" t="s">
        <v>17</v>
      </c>
      <c r="B6" s="18">
        <v>3.61</v>
      </c>
      <c r="C6" s="18">
        <v>3.51</v>
      </c>
      <c r="D6" s="18">
        <v>3.55</v>
      </c>
    </row>
    <row r="7" spans="1:4" x14ac:dyDescent="0.25">
      <c r="A7" s="4" t="s">
        <v>18</v>
      </c>
      <c r="B7" s="4"/>
      <c r="C7" s="4"/>
      <c r="D7" s="4"/>
    </row>
    <row r="8" spans="1:4" x14ac:dyDescent="0.25">
      <c r="A8" s="20" t="s">
        <v>83</v>
      </c>
      <c r="B8" s="20">
        <v>80.569999999999993</v>
      </c>
      <c r="C8" s="20">
        <v>80.88</v>
      </c>
      <c r="D8" s="20">
        <v>80.62</v>
      </c>
    </row>
    <row r="9" spans="1:4" x14ac:dyDescent="0.25">
      <c r="A9" s="4" t="s">
        <v>20</v>
      </c>
      <c r="B9" s="4"/>
      <c r="C9" s="4"/>
      <c r="D9" s="4"/>
    </row>
    <row r="10" spans="1:4" x14ac:dyDescent="0.25">
      <c r="A10" s="26" t="s">
        <v>128</v>
      </c>
      <c r="B10" s="26">
        <v>109.6</v>
      </c>
      <c r="C10" s="26">
        <v>110.5</v>
      </c>
      <c r="D10" s="26">
        <v>110</v>
      </c>
    </row>
    <row r="11" spans="1:4" x14ac:dyDescent="0.25">
      <c r="A11" s="4" t="s">
        <v>22</v>
      </c>
      <c r="B11" s="4"/>
      <c r="C11" s="4"/>
      <c r="D11" s="4"/>
    </row>
    <row r="12" spans="1:4" x14ac:dyDescent="0.25">
      <c r="A12" s="20" t="s">
        <v>23</v>
      </c>
      <c r="B12" s="21">
        <v>6846</v>
      </c>
      <c r="C12" s="21">
        <v>7020</v>
      </c>
      <c r="D12" s="21">
        <v>6882</v>
      </c>
    </row>
    <row r="13" spans="1:4" ht="15.75" thickBot="1" x14ac:dyDescent="0.3">
      <c r="A13" s="4" t="s">
        <v>24</v>
      </c>
      <c r="B13" s="4"/>
      <c r="C13" s="4"/>
      <c r="D13" s="4"/>
    </row>
    <row r="14" spans="1:4" ht="16.5" thickTop="1" thickBot="1" x14ac:dyDescent="0.3">
      <c r="A14" s="25" t="s">
        <v>25</v>
      </c>
      <c r="B14" s="29">
        <v>22701</v>
      </c>
      <c r="C14" s="29">
        <v>23521</v>
      </c>
      <c r="D14" s="29">
        <v>22904</v>
      </c>
    </row>
    <row r="15" spans="1:4" ht="15.75" thickTop="1" x14ac:dyDescent="0.25">
      <c r="A15" s="4" t="s">
        <v>26</v>
      </c>
      <c r="B15" s="4"/>
      <c r="C15" s="4"/>
      <c r="D15" s="4"/>
    </row>
    <row r="16" spans="1:4" x14ac:dyDescent="0.25">
      <c r="A16" s="20" t="s">
        <v>86</v>
      </c>
      <c r="B16" s="21">
        <v>2600</v>
      </c>
      <c r="C16" s="21">
        <v>2718</v>
      </c>
      <c r="D16" s="21">
        <v>2624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135</v>
      </c>
      <c r="C18" s="18">
        <v>144</v>
      </c>
      <c r="D18" s="18">
        <v>138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164</v>
      </c>
      <c r="C20" s="20">
        <v>171</v>
      </c>
      <c r="D20" s="20">
        <v>169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4017</v>
      </c>
      <c r="C22" s="21">
        <v>4157</v>
      </c>
      <c r="D22" s="21">
        <v>4075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52743</v>
      </c>
      <c r="C24" s="24">
        <v>54794</v>
      </c>
      <c r="D24" s="24">
        <v>53818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24340</v>
      </c>
      <c r="C26" s="21">
        <v>25141</v>
      </c>
      <c r="D26" s="21">
        <v>24603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15.09</v>
      </c>
      <c r="C28" s="19">
        <v>20.079999999999998</v>
      </c>
      <c r="D28" s="19">
        <v>18.64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95.79</v>
      </c>
      <c r="C30" s="18">
        <v>98.32</v>
      </c>
      <c r="D30" s="18">
        <v>97.84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1.171</v>
      </c>
      <c r="C32" s="23">
        <v>1.202</v>
      </c>
      <c r="D32" s="23">
        <v>1.179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153.09</v>
      </c>
      <c r="C34" s="23">
        <v>158.11000000000001</v>
      </c>
      <c r="D34" s="23">
        <v>157.1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1.353</v>
      </c>
      <c r="C36" s="20">
        <v>1.3839999999999999</v>
      </c>
      <c r="D36" s="20">
        <v>1.357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0.72599999999999998</v>
      </c>
      <c r="C38" s="20">
        <v>0.74</v>
      </c>
      <c r="D38" s="20">
        <v>0.73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61.02</v>
      </c>
      <c r="C40" s="20">
        <v>66.41</v>
      </c>
      <c r="D40" s="20">
        <v>64.47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65.239999999999995</v>
      </c>
      <c r="C42" s="20">
        <v>70.73</v>
      </c>
      <c r="D42" s="20">
        <v>68.73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2.99</v>
      </c>
      <c r="C44" s="18">
        <v>4.3</v>
      </c>
      <c r="D44" s="18">
        <v>3.46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4660</v>
      </c>
      <c r="C46" s="21">
        <v>5511</v>
      </c>
      <c r="D46" s="21">
        <v>4858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5.74</v>
      </c>
      <c r="C48" s="21">
        <v>6.21</v>
      </c>
      <c r="D48" s="21">
        <v>5.93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71</v>
      </c>
      <c r="C50" s="20">
        <v>124</v>
      </c>
      <c r="D50" s="20">
        <v>88.75</v>
      </c>
      <c r="E50" t="s">
        <v>147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175</v>
      </c>
      <c r="C52" s="23">
        <v>264</v>
      </c>
      <c r="D52" s="23">
        <v>201.41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391</v>
      </c>
      <c r="C54" s="18">
        <v>442</v>
      </c>
      <c r="D54" s="18">
        <v>414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261</v>
      </c>
      <c r="C56" s="20">
        <v>281</v>
      </c>
      <c r="D56" s="20">
        <v>276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20" t="s">
        <v>99</v>
      </c>
      <c r="B58" s="20">
        <v>228</v>
      </c>
      <c r="C58" s="20">
        <v>249</v>
      </c>
      <c r="D58" s="20">
        <v>233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643</v>
      </c>
      <c r="C60" s="20">
        <v>739</v>
      </c>
      <c r="D60" s="20">
        <v>669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323</v>
      </c>
      <c r="C62" s="20">
        <v>347</v>
      </c>
      <c r="D62" s="20">
        <v>333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78</v>
      </c>
      <c r="C64" s="18">
        <v>84</v>
      </c>
      <c r="D64" s="18">
        <v>80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393</v>
      </c>
      <c r="C66" s="25">
        <v>430</v>
      </c>
      <c r="D66" s="25">
        <v>406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171</v>
      </c>
      <c r="C68" s="18">
        <v>185</v>
      </c>
      <c r="D68" s="18">
        <v>174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141</v>
      </c>
      <c r="C70" s="19">
        <v>165</v>
      </c>
      <c r="D70" s="19">
        <v>147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67154</v>
      </c>
      <c r="C72" s="19">
        <v>79004</v>
      </c>
      <c r="D72" s="19">
        <v>69583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40F5-E426-4E2A-9B26-3236F3873388}">
  <dimension ref="A1:E73"/>
  <sheetViews>
    <sheetView topLeftCell="A18" workbookViewId="0">
      <selection activeCell="C38" sqref="C38"/>
    </sheetView>
  </sheetViews>
  <sheetFormatPr defaultRowHeight="15" x14ac:dyDescent="0.25"/>
  <cols>
    <col min="1" max="1" width="45" bestFit="1" customWidth="1"/>
    <col min="2" max="2" width="15.7109375" bestFit="1" customWidth="1"/>
    <col min="3" max="3" width="15.85546875" bestFit="1" customWidth="1"/>
    <col min="4" max="4" width="17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20" t="s">
        <v>108</v>
      </c>
      <c r="B2" s="20">
        <v>4.92</v>
      </c>
      <c r="C2" s="20">
        <v>4.8</v>
      </c>
      <c r="D2" s="20">
        <v>4.8499999999999996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4.28</v>
      </c>
      <c r="C4" s="18">
        <v>4.17</v>
      </c>
      <c r="D4" s="18">
        <v>4.18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3.58</v>
      </c>
      <c r="C6" s="18">
        <v>3.45</v>
      </c>
      <c r="D6" s="18">
        <v>3.46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</v>
      </c>
      <c r="C8" s="20">
        <v>80.87</v>
      </c>
      <c r="D8" s="20">
        <v>80.53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109.7</v>
      </c>
      <c r="C10" s="20">
        <v>110.8</v>
      </c>
      <c r="D10" s="20">
        <v>110.5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6746</v>
      </c>
      <c r="C12" s="21">
        <v>7051</v>
      </c>
      <c r="D12" s="21">
        <v>6798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22201</v>
      </c>
      <c r="C14" s="29">
        <v>23414</v>
      </c>
      <c r="D14" s="29">
        <v>22540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2546</v>
      </c>
      <c r="C16" s="21">
        <v>2703</v>
      </c>
      <c r="D16" s="21">
        <v>2577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133</v>
      </c>
      <c r="C18" s="18">
        <v>143</v>
      </c>
      <c r="D18" s="18">
        <v>136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163</v>
      </c>
      <c r="C20" s="20">
        <v>171</v>
      </c>
      <c r="D20" s="20">
        <v>168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4010</v>
      </c>
      <c r="C22" s="21">
        <v>4159</v>
      </c>
      <c r="D22" s="21">
        <v>4065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52821</v>
      </c>
      <c r="C24" s="24">
        <v>54808</v>
      </c>
      <c r="D24" s="24">
        <v>54253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24209</v>
      </c>
      <c r="C26" s="21">
        <v>25161</v>
      </c>
      <c r="D26" s="21">
        <v>24491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14.11</v>
      </c>
      <c r="C28" s="19">
        <v>23.76</v>
      </c>
      <c r="D28" s="19">
        <v>21.77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95.81</v>
      </c>
      <c r="C30" s="18">
        <v>98.42</v>
      </c>
      <c r="D30" s="18">
        <v>97.84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</v>
      </c>
      <c r="C32" s="23">
        <v>1.202</v>
      </c>
      <c r="D32" s="23">
        <v>1.179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153.01</v>
      </c>
      <c r="C34" s="23">
        <v>158.13</v>
      </c>
      <c r="D34" s="23">
        <v>157.11000000000001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</v>
      </c>
      <c r="C36" s="20">
        <v>1.383</v>
      </c>
      <c r="D36" s="20">
        <v>1.359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0.72599999999999998</v>
      </c>
      <c r="C38" s="20">
        <v>0.74</v>
      </c>
      <c r="D38" s="20">
        <v>0.73099999999999998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61.27</v>
      </c>
      <c r="C40" s="20">
        <v>66.63</v>
      </c>
      <c r="D40" s="20">
        <v>63.12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65.540000000000006</v>
      </c>
      <c r="C42" s="20">
        <v>70.959999999999994</v>
      </c>
      <c r="D42" s="20">
        <v>67.38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3.01</v>
      </c>
      <c r="C44" s="18">
        <v>4.3</v>
      </c>
      <c r="D44" s="18">
        <v>3.52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4708</v>
      </c>
      <c r="C46" s="21">
        <v>5521</v>
      </c>
      <c r="D46" s="21">
        <v>4894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</v>
      </c>
      <c r="C48" s="21">
        <v>6.22</v>
      </c>
      <c r="D48" s="21">
        <v>5.73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61</v>
      </c>
      <c r="C50" s="20">
        <v>130</v>
      </c>
      <c r="D50" s="20">
        <v>70.75</v>
      </c>
      <c r="E50" t="s">
        <v>148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170</v>
      </c>
      <c r="C52" s="23">
        <v>260</v>
      </c>
      <c r="D52" s="23">
        <v>181.77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371</v>
      </c>
      <c r="C54" s="18">
        <v>436</v>
      </c>
      <c r="D54" s="18">
        <v>394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262</v>
      </c>
      <c r="C56" s="20">
        <v>282</v>
      </c>
      <c r="D56" s="20">
        <v>276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201</v>
      </c>
      <c r="C58" s="18">
        <v>237</v>
      </c>
      <c r="D58" s="18">
        <v>223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642</v>
      </c>
      <c r="C60" s="20">
        <v>738</v>
      </c>
      <c r="D60" s="20">
        <v>670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325</v>
      </c>
      <c r="C62" s="20">
        <v>345</v>
      </c>
      <c r="D62" s="20">
        <v>331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77</v>
      </c>
      <c r="C64" s="18">
        <v>84</v>
      </c>
      <c r="D64" s="18">
        <v>81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393</v>
      </c>
      <c r="C66" s="25">
        <v>428</v>
      </c>
      <c r="D66" s="25">
        <v>397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18" t="s">
        <v>88</v>
      </c>
      <c r="B68" s="18">
        <v>169</v>
      </c>
      <c r="C68" s="18">
        <v>183</v>
      </c>
      <c r="D68" s="18">
        <v>172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133</v>
      </c>
      <c r="C70" s="19">
        <v>160</v>
      </c>
      <c r="D70" s="19">
        <v>136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150</v>
      </c>
      <c r="B72" s="19">
        <v>61065</v>
      </c>
      <c r="C72" s="19">
        <v>75602</v>
      </c>
      <c r="D72" s="19">
        <v>66154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3ED0-5F2B-45C5-BE94-3EDF6D6A6EE6}">
  <dimension ref="A1:E73"/>
  <sheetViews>
    <sheetView workbookViewId="0">
      <selection activeCell="B46" sqref="B46"/>
    </sheetView>
  </sheetViews>
  <sheetFormatPr defaultRowHeight="15" x14ac:dyDescent="0.25"/>
  <cols>
    <col min="1" max="1" width="33.570312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20" t="s">
        <v>151</v>
      </c>
      <c r="B2" s="20">
        <v>4.93</v>
      </c>
      <c r="C2" s="20">
        <v>4.8099999999999996</v>
      </c>
      <c r="D2" s="20">
        <v>4.8499999999999996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4.3</v>
      </c>
      <c r="C4" s="18">
        <v>4.18</v>
      </c>
      <c r="D4" s="18">
        <v>4.22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3.57</v>
      </c>
      <c r="C6" s="18">
        <v>3.45</v>
      </c>
      <c r="D6" s="18">
        <v>3.5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80.540000000000006</v>
      </c>
      <c r="C8" s="20">
        <v>80.89</v>
      </c>
      <c r="D8" s="20">
        <v>80.81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109.9</v>
      </c>
      <c r="C10" s="20">
        <v>110.7</v>
      </c>
      <c r="D10" s="20">
        <v>110.6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6806</v>
      </c>
      <c r="C12" s="21">
        <v>7053</v>
      </c>
      <c r="D12" s="21">
        <v>6932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22490</v>
      </c>
      <c r="C14" s="29">
        <v>23596</v>
      </c>
      <c r="D14" s="29">
        <v>23031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2621</v>
      </c>
      <c r="C16" s="21">
        <v>2715</v>
      </c>
      <c r="D16" s="21">
        <v>2670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144</v>
      </c>
      <c r="D18" s="18">
        <v>141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165</v>
      </c>
      <c r="C20" s="20">
        <v>175</v>
      </c>
      <c r="D20" s="20">
        <v>173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4016</v>
      </c>
      <c r="C22" s="21">
        <v>4178</v>
      </c>
      <c r="D22" s="21">
        <v>4123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52951</v>
      </c>
      <c r="C24" s="24">
        <v>56667</v>
      </c>
      <c r="D24" s="24">
        <v>56363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24386</v>
      </c>
      <c r="C26" s="21">
        <v>25129</v>
      </c>
      <c r="D26" s="21">
        <v>24721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14.37</v>
      </c>
      <c r="C28" s="19">
        <v>20.99</v>
      </c>
      <c r="D28" s="19">
        <v>17.760000000000002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96.02</v>
      </c>
      <c r="C30" s="18">
        <v>97.98</v>
      </c>
      <c r="D30" s="18">
        <v>97.22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1.171</v>
      </c>
      <c r="C32" s="23">
        <v>1.2</v>
      </c>
      <c r="D32" s="23">
        <v>1.1879999999999999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3" t="s">
        <v>45</v>
      </c>
      <c r="B34" s="23">
        <v>152.81</v>
      </c>
      <c r="C34" s="23">
        <v>158.34</v>
      </c>
      <c r="D34" s="23">
        <v>156.52000000000001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</v>
      </c>
      <c r="C36" s="20">
        <v>1.383</v>
      </c>
      <c r="D36" s="20">
        <v>1.365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0.72499999999999998</v>
      </c>
      <c r="C38" s="20">
        <v>0.74099999999999999</v>
      </c>
      <c r="D38" s="20">
        <v>0.73399999999999999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61.19</v>
      </c>
      <c r="C40" s="20">
        <v>66.25</v>
      </c>
      <c r="D40" s="20">
        <v>63.5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65.709999999999994</v>
      </c>
      <c r="C42" s="20">
        <v>70.37</v>
      </c>
      <c r="D42" s="20">
        <v>67.900000000000006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2.91</v>
      </c>
      <c r="C44" s="18">
        <v>3.82</v>
      </c>
      <c r="D44" s="18">
        <v>3.4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4751</v>
      </c>
      <c r="C46" s="21">
        <v>5516</v>
      </c>
      <c r="D46" s="21">
        <v>5018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</v>
      </c>
      <c r="C48" s="21">
        <v>6.2</v>
      </c>
      <c r="D48" s="21">
        <v>5.88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67</v>
      </c>
      <c r="C50" s="20">
        <v>127</v>
      </c>
      <c r="D50" s="20">
        <v>77.98</v>
      </c>
      <c r="E50" t="s">
        <v>148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163</v>
      </c>
      <c r="C52" s="23">
        <v>254</v>
      </c>
      <c r="D52" s="23">
        <v>191.3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370</v>
      </c>
      <c r="C54" s="18">
        <v>431</v>
      </c>
      <c r="D54" s="18">
        <v>401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264</v>
      </c>
      <c r="C56" s="20">
        <v>285</v>
      </c>
      <c r="D56" s="20">
        <v>278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202</v>
      </c>
      <c r="C58" s="18">
        <v>232</v>
      </c>
      <c r="D58" s="18">
        <v>210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6" t="s">
        <v>135</v>
      </c>
      <c r="B60" s="26">
        <v>635</v>
      </c>
      <c r="C60" s="26">
        <v>710</v>
      </c>
      <c r="D60" s="26">
        <v>661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320</v>
      </c>
      <c r="C62" s="20">
        <v>345</v>
      </c>
      <c r="D62" s="20">
        <v>323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77</v>
      </c>
      <c r="C64" s="18">
        <v>85</v>
      </c>
      <c r="D64" s="18">
        <v>82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394</v>
      </c>
      <c r="C66" s="25">
        <v>430</v>
      </c>
      <c r="D66" s="25">
        <v>411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170</v>
      </c>
      <c r="C68" s="20">
        <v>192</v>
      </c>
      <c r="D68" s="20">
        <v>185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131</v>
      </c>
      <c r="C70" s="19">
        <v>159</v>
      </c>
      <c r="D70" s="19">
        <v>143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150</v>
      </c>
      <c r="B72" s="19">
        <v>62507</v>
      </c>
      <c r="C72" s="19">
        <v>72763</v>
      </c>
      <c r="D72" s="19">
        <v>69096</v>
      </c>
    </row>
    <row r="73" spans="1:4" x14ac:dyDescent="0.25">
      <c r="A73" s="4" t="s">
        <v>82</v>
      </c>
      <c r="B73" s="4"/>
      <c r="C73" s="4"/>
      <c r="D73" s="4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50C2-0762-41BD-91C2-BCD135A0D2AA}">
  <dimension ref="A1:E88"/>
  <sheetViews>
    <sheetView topLeftCell="A24" workbookViewId="0">
      <selection activeCell="C45" sqref="C45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20" t="s">
        <v>108</v>
      </c>
      <c r="B2" s="20">
        <v>4.91</v>
      </c>
      <c r="C2" s="20">
        <v>4.8</v>
      </c>
      <c r="D2" s="20">
        <v>4.8600000000000003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4.28</v>
      </c>
      <c r="C4" s="18">
        <v>4.16</v>
      </c>
      <c r="D4" s="18">
        <v>4.21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3.56</v>
      </c>
      <c r="C6" s="18">
        <v>3.44</v>
      </c>
      <c r="D6" s="18">
        <v>3.5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80.569999999999993</v>
      </c>
      <c r="C8" s="20">
        <v>80.98</v>
      </c>
      <c r="D8" s="20">
        <v>80.92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109.9</v>
      </c>
      <c r="C10" s="20">
        <v>110.8</v>
      </c>
      <c r="D10" s="20">
        <v>110.6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6824</v>
      </c>
      <c r="C12" s="21">
        <v>7050</v>
      </c>
      <c r="D12" s="21">
        <v>6964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3" t="s">
        <v>85</v>
      </c>
      <c r="B14" s="24">
        <v>22500</v>
      </c>
      <c r="C14" s="24">
        <v>23611</v>
      </c>
      <c r="D14" s="24">
        <v>23238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2591</v>
      </c>
      <c r="C16" s="21">
        <v>2721</v>
      </c>
      <c r="D16" s="21">
        <v>2689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135</v>
      </c>
      <c r="C18" s="18">
        <v>146</v>
      </c>
      <c r="D18" s="18">
        <v>143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167</v>
      </c>
      <c r="C20" s="20">
        <v>176</v>
      </c>
      <c r="D20" s="20">
        <v>174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4018</v>
      </c>
      <c r="C22" s="21">
        <v>4185</v>
      </c>
      <c r="D22" s="21">
        <v>4128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54008</v>
      </c>
      <c r="C24" s="24">
        <v>58057</v>
      </c>
      <c r="D24" s="24">
        <v>57650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24401</v>
      </c>
      <c r="C26" s="21">
        <v>25173</v>
      </c>
      <c r="D26" s="21">
        <v>25014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14.52</v>
      </c>
      <c r="C28" s="19">
        <v>20.86</v>
      </c>
      <c r="D28" s="19">
        <v>17.36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96.11</v>
      </c>
      <c r="C30" s="18">
        <v>97.78</v>
      </c>
      <c r="D30" s="18">
        <v>96.87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1.173</v>
      </c>
      <c r="C32" s="23">
        <v>1.198</v>
      </c>
      <c r="D32" s="23">
        <v>1.19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7" t="s">
        <v>115</v>
      </c>
      <c r="B34" s="27">
        <v>153.13</v>
      </c>
      <c r="C34" s="27">
        <v>158.07</v>
      </c>
      <c r="D34" s="27">
        <v>155.09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1.351</v>
      </c>
      <c r="C36" s="20">
        <v>1.3819999999999999</v>
      </c>
      <c r="D36" s="20">
        <v>1.3680000000000001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0.72899999999999998</v>
      </c>
      <c r="C38" s="20">
        <v>0.74099999999999999</v>
      </c>
      <c r="D38" s="20">
        <v>0.73699999999999999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61.62</v>
      </c>
      <c r="C40" s="20">
        <v>66.2</v>
      </c>
      <c r="D40" s="20">
        <v>64.36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66.31</v>
      </c>
      <c r="C42" s="20">
        <v>70.66</v>
      </c>
      <c r="D42" s="20">
        <v>69.040000000000006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2.74</v>
      </c>
      <c r="C44" s="18">
        <v>3.79</v>
      </c>
      <c r="D44" s="18">
        <v>3.13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4788</v>
      </c>
      <c r="C46" s="21">
        <v>5494</v>
      </c>
      <c r="D46" s="21">
        <v>5043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5.69</v>
      </c>
      <c r="C48" s="21">
        <v>6.2</v>
      </c>
      <c r="D48" s="21">
        <v>5.95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70</v>
      </c>
      <c r="C50" s="20">
        <v>121</v>
      </c>
      <c r="D50" s="20">
        <v>81.53</v>
      </c>
      <c r="E50" t="s">
        <v>148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169</v>
      </c>
      <c r="C52" s="23">
        <v>250</v>
      </c>
      <c r="D52" s="23">
        <v>194.61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372</v>
      </c>
      <c r="C54" s="18">
        <v>434</v>
      </c>
      <c r="D54" s="18">
        <v>414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265</v>
      </c>
      <c r="C56" s="20">
        <v>285</v>
      </c>
      <c r="D56" s="20">
        <v>275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201</v>
      </c>
      <c r="C58" s="18">
        <v>230</v>
      </c>
      <c r="D58" s="18">
        <v>209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640</v>
      </c>
      <c r="C60" s="20">
        <v>737</v>
      </c>
      <c r="D60" s="20">
        <v>677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320</v>
      </c>
      <c r="C62" s="20">
        <v>349</v>
      </c>
      <c r="D62" s="20">
        <v>324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78</v>
      </c>
      <c r="C64" s="18">
        <v>84</v>
      </c>
      <c r="D64" s="18">
        <v>81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392</v>
      </c>
      <c r="C66" s="25">
        <v>431</v>
      </c>
      <c r="D66" s="25">
        <v>417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172</v>
      </c>
      <c r="C68" s="20">
        <v>193</v>
      </c>
      <c r="D68" s="20">
        <v>190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131</v>
      </c>
      <c r="C70" s="19">
        <v>169</v>
      </c>
      <c r="D70" s="19">
        <v>157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150</v>
      </c>
      <c r="B72" s="19">
        <v>62503</v>
      </c>
      <c r="C72" s="19">
        <v>72103</v>
      </c>
      <c r="D72" s="19">
        <v>68640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155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158</v>
      </c>
    </row>
    <row r="84" spans="1:1" ht="45" x14ac:dyDescent="0.25">
      <c r="A84" s="31" t="s">
        <v>159</v>
      </c>
    </row>
    <row r="85" spans="1:1" ht="45" x14ac:dyDescent="0.25">
      <c r="A85" s="31" t="s">
        <v>160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76E8-D44C-4B54-8114-5CD1B39D1FF4}">
  <dimension ref="A1:E88"/>
  <sheetViews>
    <sheetView topLeftCell="A24" workbookViewId="0">
      <selection activeCell="A33" sqref="A1:E104857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26" t="s">
        <v>131</v>
      </c>
      <c r="B2" s="26">
        <v>4.8899999999999997</v>
      </c>
      <c r="C2" s="26">
        <v>4.75</v>
      </c>
      <c r="D2" s="26">
        <v>4.8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4.28</v>
      </c>
      <c r="C4" s="18">
        <v>4.1100000000000003</v>
      </c>
      <c r="D4" s="18">
        <v>4.1500000000000004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3.56</v>
      </c>
      <c r="C6" s="18">
        <v>3.43</v>
      </c>
      <c r="D6" s="18">
        <v>3.46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80.59</v>
      </c>
      <c r="C8" s="20">
        <v>81.03</v>
      </c>
      <c r="D8" s="20">
        <v>80.84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110.1</v>
      </c>
      <c r="C10" s="20">
        <v>111</v>
      </c>
      <c r="D10" s="20">
        <v>110.8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6814</v>
      </c>
      <c r="C12" s="21">
        <v>7031</v>
      </c>
      <c r="D12" s="21">
        <v>6941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7" t="s">
        <v>84</v>
      </c>
      <c r="B14" s="30">
        <v>22507</v>
      </c>
      <c r="C14" s="30">
        <v>23598</v>
      </c>
      <c r="D14" s="30">
        <v>23102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2620</v>
      </c>
      <c r="C16" s="21">
        <v>2716</v>
      </c>
      <c r="D16" s="21">
        <v>2679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146</v>
      </c>
      <c r="D18" s="18">
        <v>143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166</v>
      </c>
      <c r="C20" s="20">
        <v>177</v>
      </c>
      <c r="D20" s="20">
        <v>174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4019</v>
      </c>
      <c r="C22" s="21">
        <v>4177</v>
      </c>
      <c r="D22" s="21">
        <v>4131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54008</v>
      </c>
      <c r="C24" s="24">
        <v>58057</v>
      </c>
      <c r="D24" s="24">
        <v>57650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24405</v>
      </c>
      <c r="C26" s="21">
        <v>25113</v>
      </c>
      <c r="D26" s="21">
        <v>24987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15.26</v>
      </c>
      <c r="C28" s="19">
        <v>21.14</v>
      </c>
      <c r="D28" s="19">
        <v>17.79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96.2</v>
      </c>
      <c r="C30" s="18">
        <v>97.77</v>
      </c>
      <c r="D30" s="18">
        <v>96.72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1.173</v>
      </c>
      <c r="C32" s="23">
        <v>1.196</v>
      </c>
      <c r="D32" s="23">
        <v>1.19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152.9</v>
      </c>
      <c r="C34" s="25">
        <v>155.99</v>
      </c>
      <c r="D34" s="25">
        <v>153.62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1.353</v>
      </c>
      <c r="C36" s="20">
        <v>1.383</v>
      </c>
      <c r="D36" s="20">
        <v>1.3680000000000001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0.73</v>
      </c>
      <c r="C38" s="20">
        <v>0.74299999999999999</v>
      </c>
      <c r="D38" s="20">
        <v>0.73699999999999999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62.08</v>
      </c>
      <c r="C40" s="20">
        <v>66.34</v>
      </c>
      <c r="D40" s="20">
        <v>64.2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66.44</v>
      </c>
      <c r="C42" s="20">
        <v>70.87</v>
      </c>
      <c r="D42" s="20">
        <v>69.010000000000005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2.72</v>
      </c>
      <c r="C44" s="18">
        <v>3.78</v>
      </c>
      <c r="D44" s="18">
        <v>3.16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4827</v>
      </c>
      <c r="C46" s="21">
        <v>5374</v>
      </c>
      <c r="D46" s="21">
        <v>5086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5.77</v>
      </c>
      <c r="C48" s="21">
        <v>6.21</v>
      </c>
      <c r="D48" s="21">
        <v>5.91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71</v>
      </c>
      <c r="C50" s="20">
        <v>110</v>
      </c>
      <c r="D50" s="20">
        <v>81.11</v>
      </c>
      <c r="E50" t="s">
        <v>148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181</v>
      </c>
      <c r="C52" s="23">
        <v>234</v>
      </c>
      <c r="D52" s="23">
        <v>190.13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387</v>
      </c>
      <c r="C54" s="18">
        <v>435</v>
      </c>
      <c r="D54" s="18">
        <v>413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265</v>
      </c>
      <c r="C56" s="20">
        <v>285</v>
      </c>
      <c r="D56" s="20">
        <v>274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197</v>
      </c>
      <c r="C58" s="18">
        <v>226</v>
      </c>
      <c r="D58" s="18">
        <v>207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638</v>
      </c>
      <c r="C60" s="20">
        <v>711</v>
      </c>
      <c r="D60" s="20">
        <v>671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312</v>
      </c>
      <c r="C62" s="20">
        <v>349</v>
      </c>
      <c r="D62" s="20">
        <v>319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78</v>
      </c>
      <c r="C64" s="18">
        <v>85</v>
      </c>
      <c r="D64" s="18">
        <v>82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396</v>
      </c>
      <c r="C66" s="25">
        <v>435</v>
      </c>
      <c r="D66" s="25">
        <v>425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175</v>
      </c>
      <c r="C68" s="20">
        <v>195</v>
      </c>
      <c r="D68" s="20">
        <v>189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132</v>
      </c>
      <c r="C70" s="19">
        <v>170</v>
      </c>
      <c r="D70" s="19">
        <v>160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150</v>
      </c>
      <c r="B72" s="19">
        <v>62522</v>
      </c>
      <c r="C72" s="19">
        <v>69992</v>
      </c>
      <c r="D72" s="19">
        <v>67203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155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158</v>
      </c>
    </row>
    <row r="84" spans="1:1" ht="45" x14ac:dyDescent="0.25">
      <c r="A84" s="31" t="s">
        <v>159</v>
      </c>
    </row>
    <row r="85" spans="1:1" ht="45" x14ac:dyDescent="0.25">
      <c r="A85" s="31" t="s">
        <v>160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7ED5-B19B-4B66-8E8F-959960E307DB}">
  <dimension ref="A1:E88"/>
  <sheetViews>
    <sheetView topLeftCell="A18" workbookViewId="0">
      <selection activeCell="C42" sqref="C4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26" t="s">
        <v>131</v>
      </c>
      <c r="B2" s="26">
        <v>4.9000000000000004</v>
      </c>
      <c r="C2" s="26">
        <v>4.7699999999999996</v>
      </c>
      <c r="D2" s="26">
        <v>4.8099999999999996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4.28</v>
      </c>
      <c r="C4" s="18">
        <v>4.12</v>
      </c>
      <c r="D4" s="18">
        <v>4.18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3.56</v>
      </c>
      <c r="C6" s="18">
        <v>3.43</v>
      </c>
      <c r="D6" s="18">
        <v>3.53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80.62</v>
      </c>
      <c r="C8" s="20">
        <v>81.040000000000006</v>
      </c>
      <c r="D8" s="20">
        <v>80.83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110.2</v>
      </c>
      <c r="C10" s="20">
        <v>111.1</v>
      </c>
      <c r="D10" s="20">
        <v>110.7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6818</v>
      </c>
      <c r="C12" s="21">
        <v>7032</v>
      </c>
      <c r="D12" s="21">
        <v>6941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7" t="s">
        <v>84</v>
      </c>
      <c r="B14" s="30">
        <v>22529</v>
      </c>
      <c r="C14" s="30">
        <v>23393</v>
      </c>
      <c r="D14" s="30">
        <v>23066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2620</v>
      </c>
      <c r="C16" s="21">
        <v>2717</v>
      </c>
      <c r="D16" s="21">
        <v>2669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136</v>
      </c>
      <c r="C18" s="18">
        <v>146</v>
      </c>
      <c r="D18" s="18">
        <v>143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167</v>
      </c>
      <c r="C20" s="20">
        <v>178</v>
      </c>
      <c r="D20" s="20">
        <v>175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4021</v>
      </c>
      <c r="C22" s="21">
        <v>4167</v>
      </c>
      <c r="D22" s="21">
        <v>4134</v>
      </c>
    </row>
    <row r="23" spans="1:4" ht="15.75" thickBot="1" x14ac:dyDescent="0.3">
      <c r="A23" s="4" t="s">
        <v>34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54394</v>
      </c>
      <c r="C24" s="24">
        <v>57881</v>
      </c>
      <c r="D24" s="24">
        <v>57639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24427</v>
      </c>
      <c r="C26" s="21">
        <v>25301</v>
      </c>
      <c r="D26" s="21">
        <v>24856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15.33</v>
      </c>
      <c r="C28" s="19">
        <v>20.98</v>
      </c>
      <c r="D28" s="19">
        <v>17.649999999999999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96.26</v>
      </c>
      <c r="C30" s="18">
        <v>97.64</v>
      </c>
      <c r="D30" s="18">
        <v>96.92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1.1739999999999999</v>
      </c>
      <c r="C32" s="23">
        <v>1.194</v>
      </c>
      <c r="D32" s="23">
        <v>1.1870000000000001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152.16</v>
      </c>
      <c r="C34" s="25">
        <v>155.66999999999999</v>
      </c>
      <c r="D34" s="25">
        <v>153.56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1.353</v>
      </c>
      <c r="C36" s="20">
        <v>1.379</v>
      </c>
      <c r="D36" s="20">
        <v>1.363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0.73099999999999998</v>
      </c>
      <c r="C38" s="20">
        <v>0.74199999999999999</v>
      </c>
      <c r="D38" s="20">
        <v>0.73599999999999999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61.99</v>
      </c>
      <c r="C40" s="20">
        <v>65.94</v>
      </c>
      <c r="D40" s="20">
        <v>64.63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66.489999999999995</v>
      </c>
      <c r="C42" s="20">
        <v>70.66</v>
      </c>
      <c r="D42" s="20">
        <v>69.400000000000006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2.67</v>
      </c>
      <c r="C44" s="18">
        <v>3.61</v>
      </c>
      <c r="D44" s="18">
        <v>3.21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4824</v>
      </c>
      <c r="C46" s="21">
        <v>5208</v>
      </c>
      <c r="D46" s="21">
        <v>5055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5.77</v>
      </c>
      <c r="C48" s="21">
        <v>6.2</v>
      </c>
      <c r="D48" s="21">
        <v>5.98</v>
      </c>
    </row>
    <row r="49" spans="1:5" x14ac:dyDescent="0.25">
      <c r="A49" s="4" t="s">
        <v>60</v>
      </c>
      <c r="B49" s="4"/>
      <c r="C49" s="4"/>
      <c r="D49" s="4"/>
    </row>
    <row r="50" spans="1:5" x14ac:dyDescent="0.25">
      <c r="A50" s="20" t="s">
        <v>61</v>
      </c>
      <c r="B50" s="20">
        <v>72</v>
      </c>
      <c r="C50" s="20">
        <v>96</v>
      </c>
      <c r="D50" s="20">
        <v>83.52</v>
      </c>
      <c r="E50" t="s">
        <v>166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180</v>
      </c>
      <c r="C52" s="23">
        <v>216</v>
      </c>
      <c r="D52" s="23">
        <v>194.39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388</v>
      </c>
      <c r="C54" s="18">
        <v>430</v>
      </c>
      <c r="D54" s="18">
        <v>404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267</v>
      </c>
      <c r="C56" s="20">
        <v>284</v>
      </c>
      <c r="D56" s="20">
        <v>276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191</v>
      </c>
      <c r="C58" s="18">
        <v>221</v>
      </c>
      <c r="D58" s="18">
        <v>204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20" t="s">
        <v>136</v>
      </c>
      <c r="B60" s="20">
        <v>642</v>
      </c>
      <c r="C60" s="20">
        <v>701</v>
      </c>
      <c r="D60" s="20">
        <v>669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305</v>
      </c>
      <c r="C62" s="20">
        <v>345</v>
      </c>
      <c r="D62" s="20">
        <v>311</v>
      </c>
      <c r="E62" t="s">
        <v>165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76</v>
      </c>
      <c r="C64" s="18">
        <v>84</v>
      </c>
      <c r="D64" s="18">
        <v>80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395</v>
      </c>
      <c r="C66" s="25">
        <v>436</v>
      </c>
      <c r="D66" s="25">
        <v>428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172</v>
      </c>
      <c r="C68" s="20">
        <v>193</v>
      </c>
      <c r="D68" s="20">
        <v>190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133</v>
      </c>
      <c r="C70" s="19">
        <v>168</v>
      </c>
      <c r="D70" s="19">
        <v>157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150</v>
      </c>
      <c r="B72" s="19">
        <v>62801</v>
      </c>
      <c r="C72" s="19">
        <v>69945</v>
      </c>
      <c r="D72" s="19">
        <v>67895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155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158</v>
      </c>
    </row>
    <row r="84" spans="1:1" ht="45" x14ac:dyDescent="0.25">
      <c r="A84" s="31" t="s">
        <v>159</v>
      </c>
    </row>
    <row r="85" spans="1:1" ht="45" x14ac:dyDescent="0.25">
      <c r="A85" s="31" t="s">
        <v>160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98D5-1F11-491E-93AB-7F61A4C3BF49}">
  <dimension ref="A1:E88"/>
  <sheetViews>
    <sheetView workbookViewId="0">
      <selection activeCell="B52" sqref="B5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4.8499999999999996</v>
      </c>
      <c r="C2" s="18">
        <v>4.72</v>
      </c>
      <c r="D2" s="18">
        <v>4.74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4.22</v>
      </c>
      <c r="C4" s="18">
        <v>4.07</v>
      </c>
      <c r="D4" s="18">
        <v>4.0999999999999996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3.53</v>
      </c>
      <c r="C6" s="18">
        <v>3.4</v>
      </c>
      <c r="D6" s="18">
        <v>3.46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80.599999999999994</v>
      </c>
      <c r="C8" s="20">
        <v>81.010000000000005</v>
      </c>
      <c r="D8" s="20">
        <v>80.790000000000006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110.3</v>
      </c>
      <c r="C10" s="20">
        <v>111.4</v>
      </c>
      <c r="D10" s="20">
        <v>111.2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167</v>
      </c>
      <c r="B12" s="21">
        <v>6776</v>
      </c>
      <c r="C12" s="21">
        <v>7013</v>
      </c>
      <c r="D12" s="21">
        <v>6832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168</v>
      </c>
      <c r="B14" s="29">
        <v>22318</v>
      </c>
      <c r="C14" s="29">
        <v>23252</v>
      </c>
      <c r="D14" s="29">
        <v>22597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169</v>
      </c>
      <c r="B16" s="21">
        <v>2565</v>
      </c>
      <c r="C16" s="21">
        <v>2715</v>
      </c>
      <c r="D16" s="21">
        <v>2615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143</v>
      </c>
      <c r="D18" s="18">
        <v>139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167</v>
      </c>
      <c r="C20" s="20">
        <v>177</v>
      </c>
      <c r="D20" s="20">
        <v>173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170</v>
      </c>
      <c r="B22" s="21">
        <v>4007</v>
      </c>
      <c r="C22" s="21">
        <v>4157</v>
      </c>
      <c r="D22" s="21">
        <v>4082</v>
      </c>
    </row>
    <row r="23" spans="1:4" ht="15.75" thickBot="1" x14ac:dyDescent="0.3">
      <c r="A23" s="4" t="s">
        <v>171</v>
      </c>
      <c r="B23" s="4"/>
      <c r="C23" s="4"/>
      <c r="D23" s="4"/>
    </row>
    <row r="24" spans="1:4" ht="16.5" thickTop="1" thickBot="1" x14ac:dyDescent="0.3">
      <c r="A24" s="23" t="s">
        <v>172</v>
      </c>
      <c r="B24" s="24">
        <v>54868</v>
      </c>
      <c r="C24" s="24">
        <v>58432</v>
      </c>
      <c r="D24" s="24">
        <v>56941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173</v>
      </c>
      <c r="B26" s="21">
        <v>24436</v>
      </c>
      <c r="C26" s="21">
        <v>25117</v>
      </c>
      <c r="D26" s="21">
        <v>24852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174</v>
      </c>
      <c r="B28" s="19">
        <v>15.29</v>
      </c>
      <c r="C28" s="19">
        <v>21.93</v>
      </c>
      <c r="D28" s="19">
        <v>20.82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175</v>
      </c>
      <c r="B30" s="18">
        <v>96.22</v>
      </c>
      <c r="C30" s="18">
        <v>97.7</v>
      </c>
      <c r="D30" s="18">
        <v>97.05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176</v>
      </c>
      <c r="B32" s="23">
        <v>1.1739999999999999</v>
      </c>
      <c r="C32" s="23">
        <v>1.194</v>
      </c>
      <c r="D32" s="23">
        <v>1.1859999999999999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177</v>
      </c>
      <c r="B34" s="25">
        <v>152.01</v>
      </c>
      <c r="C34" s="25">
        <v>155.53</v>
      </c>
      <c r="D34" s="25">
        <v>153.29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178</v>
      </c>
      <c r="B36" s="20">
        <v>1.3520000000000001</v>
      </c>
      <c r="C36" s="20">
        <v>1.379</v>
      </c>
      <c r="D36" s="20">
        <v>1.361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179</v>
      </c>
      <c r="B38" s="20">
        <v>0.73099999999999998</v>
      </c>
      <c r="C38" s="20">
        <v>0.74199999999999999</v>
      </c>
      <c r="D38" s="20">
        <v>0.73299999999999998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180</v>
      </c>
      <c r="B40" s="20">
        <v>61.73</v>
      </c>
      <c r="C40" s="20">
        <v>65.62</v>
      </c>
      <c r="D40" s="20">
        <v>62.91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181</v>
      </c>
      <c r="B42" s="20">
        <v>66.41</v>
      </c>
      <c r="C42" s="20">
        <v>70.39</v>
      </c>
      <c r="D42" s="20">
        <v>67.599999999999994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182</v>
      </c>
      <c r="B44" s="18">
        <v>2.88</v>
      </c>
      <c r="C44" s="18">
        <v>3.57</v>
      </c>
      <c r="D44" s="18">
        <v>3.22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183</v>
      </c>
      <c r="B46" s="21">
        <v>4842</v>
      </c>
      <c r="C46" s="21">
        <v>5209</v>
      </c>
      <c r="D46" s="21">
        <v>4893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184</v>
      </c>
      <c r="B48" s="21">
        <v>5.67</v>
      </c>
      <c r="C48" s="21">
        <v>6.12</v>
      </c>
      <c r="D48" s="21">
        <v>5.75</v>
      </c>
    </row>
    <row r="49" spans="1:5" x14ac:dyDescent="0.25">
      <c r="A49" s="4" t="s">
        <v>185</v>
      </c>
      <c r="B49" s="4"/>
      <c r="C49" s="4"/>
      <c r="D49" s="4"/>
    </row>
    <row r="50" spans="1:5" x14ac:dyDescent="0.25">
      <c r="A50" s="20" t="s">
        <v>186</v>
      </c>
      <c r="B50" s="20">
        <v>70</v>
      </c>
      <c r="C50" s="20">
        <v>93</v>
      </c>
      <c r="D50" s="20">
        <v>74</v>
      </c>
      <c r="E50" t="s">
        <v>166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133</v>
      </c>
      <c r="B52" s="23">
        <v>175</v>
      </c>
      <c r="C52" s="23">
        <v>211</v>
      </c>
      <c r="D52" s="23">
        <v>182</v>
      </c>
    </row>
    <row r="53" spans="1:5" ht="15.75" thickTop="1" x14ac:dyDescent="0.25">
      <c r="A53" s="4" t="s">
        <v>134</v>
      </c>
      <c r="B53" s="4"/>
      <c r="C53" s="4"/>
      <c r="D53" s="4"/>
    </row>
    <row r="54" spans="1:5" x14ac:dyDescent="0.25">
      <c r="A54" s="18" t="s">
        <v>63</v>
      </c>
      <c r="B54" s="18">
        <v>387</v>
      </c>
      <c r="C54" s="18">
        <v>424</v>
      </c>
      <c r="D54" s="18">
        <v>402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6" t="s">
        <v>120</v>
      </c>
      <c r="B56" s="26">
        <v>260</v>
      </c>
      <c r="C56" s="26">
        <v>272</v>
      </c>
      <c r="D56" s="26">
        <v>262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186</v>
      </c>
      <c r="C58" s="18">
        <v>216</v>
      </c>
      <c r="D58" s="18">
        <v>200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639</v>
      </c>
      <c r="C60" s="18">
        <v>693</v>
      </c>
      <c r="D60" s="18">
        <v>650</v>
      </c>
    </row>
    <row r="61" spans="1:5" x14ac:dyDescent="0.25">
      <c r="A61" t="s">
        <v>70</v>
      </c>
    </row>
    <row r="62" spans="1:5" x14ac:dyDescent="0.25">
      <c r="A62" s="20" t="s">
        <v>71</v>
      </c>
      <c r="B62" s="20">
        <v>301</v>
      </c>
      <c r="C62" s="20">
        <v>343</v>
      </c>
      <c r="D62" s="20">
        <v>309</v>
      </c>
      <c r="E62" t="s">
        <v>165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73</v>
      </c>
      <c r="C64" s="18">
        <v>82</v>
      </c>
      <c r="D64" s="18">
        <v>76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395</v>
      </c>
      <c r="C66" s="25">
        <v>431</v>
      </c>
      <c r="D66" s="25">
        <v>417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171</v>
      </c>
      <c r="C68" s="20">
        <v>192</v>
      </c>
      <c r="D68" s="20">
        <v>187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134</v>
      </c>
      <c r="C70" s="19">
        <v>167</v>
      </c>
      <c r="D70" s="19">
        <v>156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150</v>
      </c>
      <c r="B72" s="19">
        <v>62799</v>
      </c>
      <c r="C72" s="19">
        <v>71743</v>
      </c>
      <c r="D72" s="19">
        <v>67049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187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7259-C6E8-4236-8F17-34C9398DBD0E}">
  <dimension ref="A1:E88"/>
  <sheetViews>
    <sheetView topLeftCell="A53" workbookViewId="0">
      <selection activeCell="E17" sqref="E17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4.83</v>
      </c>
      <c r="C2" s="18">
        <v>4.6500000000000004</v>
      </c>
      <c r="D2" s="18">
        <v>4.7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4.17</v>
      </c>
      <c r="C4" s="18">
        <v>3.99</v>
      </c>
      <c r="D4" s="18">
        <v>4.05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3.52</v>
      </c>
      <c r="C6" s="18">
        <v>3.37</v>
      </c>
      <c r="D6" s="18">
        <v>3.42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80.61</v>
      </c>
      <c r="C8" s="20">
        <v>81.010000000000005</v>
      </c>
      <c r="D8" s="20">
        <v>80.849999999999994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110.5</v>
      </c>
      <c r="C10" s="20">
        <v>111.8</v>
      </c>
      <c r="D10" s="20">
        <v>111.6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6796</v>
      </c>
      <c r="C12" s="21">
        <v>7009</v>
      </c>
      <c r="D12" s="21">
        <v>6836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22355</v>
      </c>
      <c r="C14" s="29">
        <v>23203</v>
      </c>
      <c r="D14" s="29">
        <v>22546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2580</v>
      </c>
      <c r="C16" s="21">
        <v>2710</v>
      </c>
      <c r="D16" s="21">
        <v>2646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142</v>
      </c>
      <c r="D18" s="18">
        <v>140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167</v>
      </c>
      <c r="C20" s="20">
        <v>178</v>
      </c>
      <c r="D20" s="20">
        <v>174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4026</v>
      </c>
      <c r="C22" s="21">
        <v>4146</v>
      </c>
      <c r="D22" s="21">
        <v>4082</v>
      </c>
    </row>
    <row r="23" spans="1:4" ht="15.75" thickBot="1" x14ac:dyDescent="0.3">
      <c r="A23" s="4" t="s">
        <v>171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54210</v>
      </c>
      <c r="C24" s="24">
        <v>58792</v>
      </c>
      <c r="D24" s="24">
        <v>56566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24457</v>
      </c>
      <c r="C26" s="21">
        <v>25151</v>
      </c>
      <c r="D26" s="21">
        <v>24800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18" t="s">
        <v>94</v>
      </c>
      <c r="B28" s="19">
        <v>15.89</v>
      </c>
      <c r="C28" s="19">
        <v>22.17</v>
      </c>
      <c r="D28" s="19">
        <v>20.6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96.22</v>
      </c>
      <c r="C30" s="18">
        <v>97.82</v>
      </c>
      <c r="D30" s="18">
        <v>97.25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1.1759999999999999</v>
      </c>
      <c r="C32" s="23">
        <v>1.194</v>
      </c>
      <c r="D32" s="23">
        <v>1.1830000000000001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151.04</v>
      </c>
      <c r="C34" s="25">
        <v>155.13999999999999</v>
      </c>
      <c r="D34" s="25">
        <v>153.13999999999999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1.3520000000000001</v>
      </c>
      <c r="C36" s="20">
        <v>1.3720000000000001</v>
      </c>
      <c r="D36" s="20">
        <v>1.355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0.72899999999999998</v>
      </c>
      <c r="C38" s="20">
        <v>0.74099999999999999</v>
      </c>
      <c r="D38" s="20">
        <v>0.73199999999999998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62.01</v>
      </c>
      <c r="C40" s="20">
        <v>65.41</v>
      </c>
      <c r="D40" s="20">
        <v>62.89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66.569999999999993</v>
      </c>
      <c r="C42" s="20">
        <v>70.31</v>
      </c>
      <c r="D42" s="20">
        <v>67.75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2.89</v>
      </c>
      <c r="C44" s="18">
        <v>3.55</v>
      </c>
      <c r="D44" s="18">
        <v>3.24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4812</v>
      </c>
      <c r="C46" s="21">
        <v>5191</v>
      </c>
      <c r="D46" s="21">
        <v>4937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5.67</v>
      </c>
      <c r="C48" s="21">
        <v>6.1</v>
      </c>
      <c r="D48" s="21">
        <v>5.8</v>
      </c>
    </row>
    <row r="49" spans="1:5" x14ac:dyDescent="0.25">
      <c r="A49" s="4" t="s">
        <v>185</v>
      </c>
      <c r="B49" s="4"/>
      <c r="C49" s="4"/>
      <c r="D49" s="4"/>
    </row>
    <row r="50" spans="1:5" x14ac:dyDescent="0.25">
      <c r="A50" s="20" t="s">
        <v>61</v>
      </c>
      <c r="B50" s="20">
        <v>70</v>
      </c>
      <c r="C50" s="20">
        <v>88</v>
      </c>
      <c r="D50" s="20">
        <v>78</v>
      </c>
      <c r="E50" t="s">
        <v>166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63</v>
      </c>
      <c r="B52" s="23">
        <v>388</v>
      </c>
      <c r="C52" s="23">
        <v>418</v>
      </c>
      <c r="D52" s="23">
        <v>401</v>
      </c>
    </row>
    <row r="53" spans="1:5" ht="15.75" thickTop="1" x14ac:dyDescent="0.25">
      <c r="A53" s="4" t="s">
        <v>64</v>
      </c>
      <c r="B53" s="4"/>
      <c r="C53" s="4"/>
      <c r="D53" s="4"/>
    </row>
    <row r="54" spans="1:5" x14ac:dyDescent="0.25">
      <c r="A54" s="18" t="s">
        <v>121</v>
      </c>
      <c r="B54" s="18">
        <v>252</v>
      </c>
      <c r="C54" s="18">
        <v>271</v>
      </c>
      <c r="D54" s="18">
        <v>256</v>
      </c>
    </row>
    <row r="55" spans="1:5" x14ac:dyDescent="0.25">
      <c r="A55" s="4" t="s">
        <v>66</v>
      </c>
      <c r="B55" s="4"/>
      <c r="C55" s="4"/>
      <c r="D55" s="4"/>
    </row>
    <row r="56" spans="1:5" x14ac:dyDescent="0.25">
      <c r="A56" s="18" t="s">
        <v>67</v>
      </c>
      <c r="B56" s="18">
        <v>184</v>
      </c>
      <c r="C56" s="18">
        <v>212</v>
      </c>
      <c r="D56" s="18">
        <v>199</v>
      </c>
    </row>
    <row r="57" spans="1:5" x14ac:dyDescent="0.25">
      <c r="A57" s="4" t="s">
        <v>68</v>
      </c>
      <c r="B57" s="4"/>
      <c r="C57" s="4"/>
      <c r="D57" s="4"/>
    </row>
    <row r="58" spans="1:5" x14ac:dyDescent="0.25">
      <c r="A58" s="18" t="s">
        <v>69</v>
      </c>
      <c r="B58" s="18">
        <v>631</v>
      </c>
      <c r="C58" s="18">
        <v>690</v>
      </c>
      <c r="D58" s="18">
        <v>640</v>
      </c>
    </row>
    <row r="59" spans="1:5" x14ac:dyDescent="0.25">
      <c r="A59" s="4" t="s">
        <v>70</v>
      </c>
      <c r="B59" s="4"/>
      <c r="C59" s="4"/>
      <c r="D59" s="4"/>
    </row>
    <row r="60" spans="1:5" x14ac:dyDescent="0.25">
      <c r="A60" s="18" t="s">
        <v>71</v>
      </c>
      <c r="B60" s="18">
        <v>298</v>
      </c>
      <c r="C60" s="18">
        <v>342</v>
      </c>
      <c r="D60" s="18">
        <v>306</v>
      </c>
    </row>
    <row r="61" spans="1:5" x14ac:dyDescent="0.25">
      <c r="A61" t="s">
        <v>72</v>
      </c>
    </row>
    <row r="62" spans="1:5" x14ac:dyDescent="0.25">
      <c r="A62" s="20" t="s">
        <v>73</v>
      </c>
      <c r="B62" s="20">
        <v>73</v>
      </c>
      <c r="C62" s="20">
        <v>82</v>
      </c>
      <c r="D62" s="20">
        <v>77</v>
      </c>
      <c r="E62" t="s">
        <v>165</v>
      </c>
    </row>
    <row r="63" spans="1:5" x14ac:dyDescent="0.25">
      <c r="A63" s="4" t="s">
        <v>74</v>
      </c>
      <c r="B63" s="4"/>
      <c r="C63" s="4"/>
      <c r="D63" s="4"/>
    </row>
    <row r="64" spans="1:5" x14ac:dyDescent="0.25">
      <c r="A64" s="18" t="s">
        <v>75</v>
      </c>
      <c r="B64" s="18">
        <v>395</v>
      </c>
      <c r="C64" s="18">
        <v>428</v>
      </c>
      <c r="D64" s="18">
        <v>417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5" t="s">
        <v>88</v>
      </c>
      <c r="B66" s="25">
        <v>170</v>
      </c>
      <c r="C66" s="25">
        <v>190</v>
      </c>
      <c r="D66" s="25">
        <v>183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135</v>
      </c>
      <c r="C68" s="18">
        <v>169</v>
      </c>
      <c r="D68" s="18">
        <v>160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65224</v>
      </c>
      <c r="C70" s="19">
        <v>70897</v>
      </c>
      <c r="D70" s="19">
        <v>68222</v>
      </c>
    </row>
    <row r="71" spans="1:4" x14ac:dyDescent="0.25">
      <c r="A71" s="4" t="s">
        <v>82</v>
      </c>
      <c r="B71" s="4"/>
      <c r="C71" s="4"/>
      <c r="D71" s="4"/>
    </row>
    <row r="72" spans="1:4" x14ac:dyDescent="0.25">
      <c r="A72" s="18" t="s">
        <v>150</v>
      </c>
      <c r="B72" s="19">
        <v>62799</v>
      </c>
      <c r="C72" s="19">
        <v>71743</v>
      </c>
      <c r="D72" s="19">
        <v>67049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187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DA98-67D0-4BC5-8052-3D7A302D6893}">
  <dimension ref="A1:E88"/>
  <sheetViews>
    <sheetView topLeftCell="A26" workbookViewId="0">
      <selection activeCell="A26" sqref="A1:E104857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4.82</v>
      </c>
      <c r="C2" s="18">
        <v>4.66</v>
      </c>
      <c r="D2" s="18">
        <v>4.6900000000000004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4.18</v>
      </c>
      <c r="C4" s="18">
        <v>4</v>
      </c>
      <c r="D4" s="18">
        <v>4.0599999999999996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3.51</v>
      </c>
      <c r="C6" s="18">
        <v>3.39</v>
      </c>
      <c r="D6" s="18">
        <v>3.45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80.62</v>
      </c>
      <c r="C8" s="20">
        <v>81.03</v>
      </c>
      <c r="D8" s="20">
        <v>80.81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110.6</v>
      </c>
      <c r="C10" s="20">
        <v>112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6798</v>
      </c>
      <c r="C12" s="21">
        <v>7003</v>
      </c>
      <c r="D12" s="21">
        <v>6843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22299</v>
      </c>
      <c r="C14" s="29">
        <v>23148</v>
      </c>
      <c r="D14" s="29">
        <v>22578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2569</v>
      </c>
      <c r="C16" s="21">
        <v>2717</v>
      </c>
      <c r="D16" s="21">
        <v>2646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143</v>
      </c>
      <c r="D18" s="18">
        <v>139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169</v>
      </c>
      <c r="C20" s="20">
        <v>179</v>
      </c>
      <c r="D20" s="20">
        <v>175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4026</v>
      </c>
      <c r="C22" s="21">
        <v>4146</v>
      </c>
      <c r="D22" s="21">
        <v>4082</v>
      </c>
    </row>
    <row r="23" spans="1:4" ht="15.75" thickBot="1" x14ac:dyDescent="0.3">
      <c r="A23" s="4" t="s">
        <v>171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54397</v>
      </c>
      <c r="C24" s="24">
        <v>58904</v>
      </c>
      <c r="D24" s="24">
        <v>57143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24515</v>
      </c>
      <c r="C26" s="21">
        <v>25231</v>
      </c>
      <c r="D26" s="21">
        <v>24998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26" t="s">
        <v>191</v>
      </c>
      <c r="B28" s="28">
        <v>15.98</v>
      </c>
      <c r="C28" s="28">
        <v>21.77</v>
      </c>
      <c r="D28" s="28">
        <v>20.29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96.25</v>
      </c>
      <c r="C30" s="18">
        <v>97.73</v>
      </c>
      <c r="D30" s="18">
        <v>97.17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1.1779999999999999</v>
      </c>
      <c r="C32" s="23">
        <v>1.1919999999999999</v>
      </c>
      <c r="D32" s="23">
        <v>1.1850000000000001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151.07</v>
      </c>
      <c r="C34" s="25">
        <v>155.19</v>
      </c>
      <c r="D34" s="25">
        <v>153.59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1.353</v>
      </c>
      <c r="C36" s="20">
        <v>1.37</v>
      </c>
      <c r="D36" s="20">
        <v>1.3580000000000001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0.72899999999999998</v>
      </c>
      <c r="C38" s="20">
        <v>0.74</v>
      </c>
      <c r="D38" s="20">
        <v>0.73299999999999998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61.76</v>
      </c>
      <c r="C40" s="20">
        <v>65.62</v>
      </c>
      <c r="D40" s="20">
        <v>62.3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66.63</v>
      </c>
      <c r="C42" s="20">
        <v>70.010000000000005</v>
      </c>
      <c r="D42" s="20">
        <v>67.38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2.88</v>
      </c>
      <c r="C44" s="18">
        <v>3.5</v>
      </c>
      <c r="D44" s="18">
        <v>3.05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4790</v>
      </c>
      <c r="C46" s="21">
        <v>5175</v>
      </c>
      <c r="D46" s="21">
        <v>4926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5.65</v>
      </c>
      <c r="C48" s="21">
        <v>6.08</v>
      </c>
      <c r="D48" s="21">
        <v>5.68</v>
      </c>
    </row>
    <row r="49" spans="1:5" x14ac:dyDescent="0.25">
      <c r="A49" s="4" t="s">
        <v>185</v>
      </c>
      <c r="B49" s="4"/>
      <c r="C49" s="4"/>
      <c r="D49" s="4"/>
    </row>
    <row r="50" spans="1:5" x14ac:dyDescent="0.25">
      <c r="A50" s="20" t="s">
        <v>61</v>
      </c>
      <c r="B50" s="20">
        <v>70</v>
      </c>
      <c r="C50" s="20">
        <v>91</v>
      </c>
      <c r="D50" s="20">
        <v>73</v>
      </c>
      <c r="E50" t="s">
        <v>166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63</v>
      </c>
      <c r="B52" s="23">
        <v>389</v>
      </c>
      <c r="C52" s="23">
        <v>414</v>
      </c>
      <c r="D52" s="23">
        <v>397</v>
      </c>
    </row>
    <row r="53" spans="1:5" ht="15.75" thickTop="1" x14ac:dyDescent="0.25">
      <c r="A53" s="4" t="s">
        <v>64</v>
      </c>
      <c r="B53" s="4"/>
      <c r="C53" s="4"/>
      <c r="D53" s="4"/>
    </row>
    <row r="54" spans="1:5" x14ac:dyDescent="0.25">
      <c r="A54" s="26" t="s">
        <v>120</v>
      </c>
      <c r="B54" s="26">
        <v>254</v>
      </c>
      <c r="C54" s="26">
        <v>271</v>
      </c>
      <c r="D54" s="26">
        <v>264</v>
      </c>
    </row>
    <row r="55" spans="1:5" x14ac:dyDescent="0.25">
      <c r="A55" s="4" t="s">
        <v>66</v>
      </c>
      <c r="B55" s="4"/>
      <c r="C55" s="4"/>
      <c r="D55" s="4"/>
    </row>
    <row r="56" spans="1:5" x14ac:dyDescent="0.25">
      <c r="A56" s="18" t="s">
        <v>67</v>
      </c>
      <c r="B56" s="18">
        <v>186</v>
      </c>
      <c r="C56" s="18">
        <v>211</v>
      </c>
      <c r="D56" s="18">
        <v>201</v>
      </c>
    </row>
    <row r="57" spans="1:5" x14ac:dyDescent="0.25">
      <c r="A57" s="4" t="s">
        <v>68</v>
      </c>
      <c r="B57" s="4"/>
      <c r="C57" s="4"/>
      <c r="D57" s="4"/>
    </row>
    <row r="58" spans="1:5" x14ac:dyDescent="0.25">
      <c r="A58" s="18" t="s">
        <v>69</v>
      </c>
      <c r="B58" s="18">
        <v>630</v>
      </c>
      <c r="C58" s="18">
        <v>675</v>
      </c>
      <c r="D58" s="18">
        <v>639</v>
      </c>
    </row>
    <row r="59" spans="1:5" x14ac:dyDescent="0.25">
      <c r="A59" s="4" t="s">
        <v>70</v>
      </c>
      <c r="B59" s="4"/>
      <c r="C59" s="4"/>
      <c r="D59" s="4"/>
    </row>
    <row r="60" spans="1:5" x14ac:dyDescent="0.25">
      <c r="A60" s="18" t="s">
        <v>192</v>
      </c>
      <c r="B60" s="18">
        <v>291</v>
      </c>
      <c r="C60" s="18">
        <v>322</v>
      </c>
      <c r="D60" s="18">
        <v>302</v>
      </c>
    </row>
    <row r="61" spans="1:5" x14ac:dyDescent="0.25">
      <c r="A61" t="s">
        <v>72</v>
      </c>
    </row>
    <row r="62" spans="1:5" x14ac:dyDescent="0.25">
      <c r="A62" s="20" t="s">
        <v>73</v>
      </c>
      <c r="B62" s="20">
        <v>73</v>
      </c>
      <c r="C62" s="20">
        <v>82</v>
      </c>
      <c r="D62" s="20">
        <v>77</v>
      </c>
      <c r="E62" t="s">
        <v>165</v>
      </c>
    </row>
    <row r="63" spans="1:5" x14ac:dyDescent="0.25">
      <c r="A63" s="4" t="s">
        <v>74</v>
      </c>
      <c r="B63" s="4"/>
      <c r="C63" s="4"/>
      <c r="D63" s="4"/>
    </row>
    <row r="64" spans="1:5" x14ac:dyDescent="0.25">
      <c r="A64" s="18" t="s">
        <v>75</v>
      </c>
      <c r="B64" s="18">
        <v>394</v>
      </c>
      <c r="C64" s="18">
        <v>426</v>
      </c>
      <c r="D64" s="18">
        <v>411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7" t="s">
        <v>77</v>
      </c>
      <c r="B66" s="27">
        <v>171</v>
      </c>
      <c r="C66" s="27">
        <v>192</v>
      </c>
      <c r="D66" s="27">
        <v>185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135</v>
      </c>
      <c r="C68" s="18">
        <v>167</v>
      </c>
      <c r="D68" s="18">
        <v>154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65184</v>
      </c>
      <c r="C70" s="19">
        <v>70398</v>
      </c>
      <c r="D70" s="19">
        <v>67425</v>
      </c>
    </row>
    <row r="71" spans="1:4" x14ac:dyDescent="0.25">
      <c r="A71" s="4" t="s">
        <v>82</v>
      </c>
      <c r="B71" s="4"/>
      <c r="C71" s="4"/>
      <c r="D71" s="4"/>
    </row>
    <row r="72" spans="1:4" x14ac:dyDescent="0.25">
      <c r="A72" s="18" t="s">
        <v>150</v>
      </c>
      <c r="B72" s="19">
        <v>62799</v>
      </c>
      <c r="C72" s="19">
        <v>71743</v>
      </c>
      <c r="D72" s="19">
        <v>67049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187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CBB1-2045-4624-8E77-F2BC33C5F104}">
  <dimension ref="A1:E88"/>
  <sheetViews>
    <sheetView workbookViewId="0">
      <selection activeCell="B32" sqref="B3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4.82</v>
      </c>
      <c r="C2" s="18">
        <v>4.66</v>
      </c>
      <c r="D2" s="18">
        <v>4.6900000000000004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4.18</v>
      </c>
      <c r="C4" s="18">
        <v>4</v>
      </c>
      <c r="D4" s="18">
        <v>4.0599999999999996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3.51</v>
      </c>
      <c r="C6" s="18">
        <v>3.39</v>
      </c>
      <c r="D6" s="18">
        <v>3.45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80.62</v>
      </c>
      <c r="C8" s="20">
        <v>81.03</v>
      </c>
      <c r="D8" s="20">
        <v>80.81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110.6</v>
      </c>
      <c r="C10" s="20">
        <v>112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6798</v>
      </c>
      <c r="C12" s="21">
        <v>7003</v>
      </c>
      <c r="D12" s="21">
        <v>6843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22299</v>
      </c>
      <c r="C14" s="29">
        <v>23148</v>
      </c>
      <c r="D14" s="29">
        <v>22578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2569</v>
      </c>
      <c r="C16" s="21">
        <v>2717</v>
      </c>
      <c r="D16" s="21">
        <v>2646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143</v>
      </c>
      <c r="D18" s="18">
        <v>139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169</v>
      </c>
      <c r="C20" s="20">
        <v>179</v>
      </c>
      <c r="D20" s="20">
        <v>175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117</v>
      </c>
      <c r="B22" s="21">
        <v>4026</v>
      </c>
      <c r="C22" s="21">
        <v>4146</v>
      </c>
      <c r="D22" s="21">
        <v>4082</v>
      </c>
    </row>
    <row r="23" spans="1:4" ht="15.75" thickBot="1" x14ac:dyDescent="0.3">
      <c r="A23" s="4" t="s">
        <v>171</v>
      </c>
      <c r="B23" s="4"/>
      <c r="C23" s="4"/>
      <c r="D23" s="4"/>
    </row>
    <row r="24" spans="1:4" ht="16.5" thickTop="1" thickBot="1" x14ac:dyDescent="0.3">
      <c r="A24" s="23" t="s">
        <v>87</v>
      </c>
      <c r="B24" s="24">
        <v>54397</v>
      </c>
      <c r="C24" s="24">
        <v>58904</v>
      </c>
      <c r="D24" s="24">
        <v>57143</v>
      </c>
    </row>
    <row r="25" spans="1:4" ht="15.75" thickTop="1" x14ac:dyDescent="0.25">
      <c r="A25" s="4" t="s">
        <v>36</v>
      </c>
      <c r="B25" s="4"/>
      <c r="C25" s="4"/>
      <c r="D25" s="4"/>
    </row>
    <row r="26" spans="1:4" x14ac:dyDescent="0.25">
      <c r="A26" s="20" t="s">
        <v>113</v>
      </c>
      <c r="B26" s="21">
        <v>24515</v>
      </c>
      <c r="C26" s="21">
        <v>25231</v>
      </c>
      <c r="D26" s="21">
        <v>24998</v>
      </c>
    </row>
    <row r="27" spans="1:4" x14ac:dyDescent="0.25">
      <c r="A27" s="4" t="s">
        <v>38</v>
      </c>
      <c r="B27" s="4"/>
      <c r="C27" s="4"/>
      <c r="D27" s="4"/>
    </row>
    <row r="28" spans="1:4" x14ac:dyDescent="0.25">
      <c r="A28" s="26" t="s">
        <v>191</v>
      </c>
      <c r="B28" s="28">
        <v>15.98</v>
      </c>
      <c r="C28" s="28">
        <v>21.77</v>
      </c>
      <c r="D28" s="28">
        <v>20.29</v>
      </c>
    </row>
    <row r="29" spans="1:4" x14ac:dyDescent="0.25">
      <c r="A29" s="4" t="s">
        <v>40</v>
      </c>
      <c r="B29" s="4"/>
      <c r="C29" s="4"/>
      <c r="D29" s="4"/>
    </row>
    <row r="30" spans="1:4" x14ac:dyDescent="0.25">
      <c r="A30" s="18" t="s">
        <v>107</v>
      </c>
      <c r="B30" s="18">
        <v>96.25</v>
      </c>
      <c r="C30" s="18">
        <v>97.73</v>
      </c>
      <c r="D30" s="18">
        <v>97.17</v>
      </c>
    </row>
    <row r="31" spans="1:4" ht="15.75" thickBot="1" x14ac:dyDescent="0.3">
      <c r="A31" s="4" t="s">
        <v>42</v>
      </c>
      <c r="B31" s="4"/>
      <c r="C31" s="4"/>
      <c r="D31" s="4"/>
    </row>
    <row r="32" spans="1:4" ht="16.5" thickTop="1" thickBot="1" x14ac:dyDescent="0.3">
      <c r="A32" s="23" t="s">
        <v>103</v>
      </c>
      <c r="B32" s="23">
        <v>1.1779999999999999</v>
      </c>
      <c r="C32" s="23">
        <v>1.1919999999999999</v>
      </c>
      <c r="D32" s="23">
        <v>1.1850000000000001</v>
      </c>
    </row>
    <row r="33" spans="1:4" ht="16.5" thickTop="1" thickBot="1" x14ac:dyDescent="0.3">
      <c r="A33" s="4" t="s">
        <v>44</v>
      </c>
      <c r="B33" s="4"/>
      <c r="C33" s="4"/>
      <c r="D33" s="4"/>
    </row>
    <row r="34" spans="1:4" ht="16.5" thickTop="1" thickBot="1" x14ac:dyDescent="0.3">
      <c r="A34" s="25" t="s">
        <v>132</v>
      </c>
      <c r="B34" s="25">
        <v>151.07</v>
      </c>
      <c r="C34" s="25">
        <v>155.19</v>
      </c>
      <c r="D34" s="25">
        <v>153.59</v>
      </c>
    </row>
    <row r="35" spans="1:4" ht="15.75" thickTop="1" x14ac:dyDescent="0.25">
      <c r="A35" s="4" t="s">
        <v>46</v>
      </c>
      <c r="B35" s="4"/>
      <c r="C35" s="4"/>
      <c r="D35" s="4"/>
    </row>
    <row r="36" spans="1:4" x14ac:dyDescent="0.25">
      <c r="A36" s="20" t="s">
        <v>109</v>
      </c>
      <c r="B36" s="20">
        <v>1.353</v>
      </c>
      <c r="C36" s="20">
        <v>1.37</v>
      </c>
      <c r="D36" s="20">
        <v>1.3580000000000001</v>
      </c>
    </row>
    <row r="37" spans="1:4" x14ac:dyDescent="0.25">
      <c r="A37" s="4" t="s">
        <v>48</v>
      </c>
      <c r="B37" s="4"/>
      <c r="C37" s="4"/>
      <c r="D37" s="4"/>
    </row>
    <row r="38" spans="1:4" x14ac:dyDescent="0.25">
      <c r="A38" s="20" t="s">
        <v>110</v>
      </c>
      <c r="B38" s="20">
        <v>0.72899999999999998</v>
      </c>
      <c r="C38" s="20">
        <v>0.74</v>
      </c>
      <c r="D38" s="20">
        <v>0.73299999999999998</v>
      </c>
    </row>
    <row r="39" spans="1:4" x14ac:dyDescent="0.25">
      <c r="A39" s="4" t="s">
        <v>50</v>
      </c>
      <c r="B39" s="4"/>
      <c r="C39" s="4"/>
      <c r="D39" s="4"/>
    </row>
    <row r="40" spans="1:4" x14ac:dyDescent="0.25">
      <c r="A40" s="20" t="s">
        <v>124</v>
      </c>
      <c r="B40" s="20">
        <v>61.76</v>
      </c>
      <c r="C40" s="20">
        <v>65.62</v>
      </c>
      <c r="D40" s="20">
        <v>62.3</v>
      </c>
    </row>
    <row r="41" spans="1:4" x14ac:dyDescent="0.25">
      <c r="A41" s="4" t="s">
        <v>52</v>
      </c>
      <c r="B41" s="4"/>
      <c r="C41" s="4"/>
      <c r="D41" s="4"/>
    </row>
    <row r="42" spans="1:4" x14ac:dyDescent="0.25">
      <c r="A42" s="20" t="s">
        <v>125</v>
      </c>
      <c r="B42" s="20">
        <v>66.63</v>
      </c>
      <c r="C42" s="20">
        <v>70.010000000000005</v>
      </c>
      <c r="D42" s="20">
        <v>67.38</v>
      </c>
    </row>
    <row r="43" spans="1:4" x14ac:dyDescent="0.25">
      <c r="A43" s="4" t="s">
        <v>54</v>
      </c>
      <c r="B43" s="4"/>
      <c r="C43" s="4"/>
      <c r="D43" s="4"/>
    </row>
    <row r="44" spans="1:4" x14ac:dyDescent="0.25">
      <c r="A44" s="18" t="s">
        <v>116</v>
      </c>
      <c r="B44" s="18">
        <v>2.88</v>
      </c>
      <c r="C44" s="18">
        <v>3.5</v>
      </c>
      <c r="D44" s="18">
        <v>3.05</v>
      </c>
    </row>
    <row r="45" spans="1:4" x14ac:dyDescent="0.25">
      <c r="A45" s="4" t="s">
        <v>56</v>
      </c>
      <c r="B45" s="4"/>
      <c r="C45" s="4"/>
      <c r="D45" s="4"/>
    </row>
    <row r="46" spans="1:4" x14ac:dyDescent="0.25">
      <c r="A46" s="20" t="s">
        <v>57</v>
      </c>
      <c r="B46" s="21">
        <v>4790</v>
      </c>
      <c r="C46" s="21">
        <v>5175</v>
      </c>
      <c r="D46" s="21">
        <v>4926</v>
      </c>
    </row>
    <row r="47" spans="1:4" x14ac:dyDescent="0.25">
      <c r="A47" s="4" t="s">
        <v>58</v>
      </c>
      <c r="B47" s="4"/>
      <c r="C47" s="4"/>
      <c r="D47" s="4"/>
    </row>
    <row r="48" spans="1:4" x14ac:dyDescent="0.25">
      <c r="A48" s="20" t="s">
        <v>59</v>
      </c>
      <c r="B48" s="21">
        <v>5.65</v>
      </c>
      <c r="C48" s="21">
        <v>6.08</v>
      </c>
      <c r="D48" s="21">
        <v>5.68</v>
      </c>
    </row>
    <row r="49" spans="1:5" x14ac:dyDescent="0.25">
      <c r="A49" s="4" t="s">
        <v>185</v>
      </c>
      <c r="B49" s="4"/>
      <c r="C49" s="4"/>
      <c r="D49" s="4"/>
    </row>
    <row r="50" spans="1:5" x14ac:dyDescent="0.25">
      <c r="A50" s="20" t="s">
        <v>61</v>
      </c>
      <c r="B50" s="20">
        <v>70</v>
      </c>
      <c r="C50" s="20">
        <v>91</v>
      </c>
      <c r="D50" s="20">
        <v>73</v>
      </c>
      <c r="E50" t="s">
        <v>166</v>
      </c>
    </row>
    <row r="51" spans="1:5" ht="15.75" thickBot="1" x14ac:dyDescent="0.3">
      <c r="A51" s="4" t="s">
        <v>62</v>
      </c>
      <c r="B51" s="4"/>
      <c r="C51" s="4"/>
      <c r="D51" s="4"/>
    </row>
    <row r="52" spans="1:5" ht="16.5" thickTop="1" thickBot="1" x14ac:dyDescent="0.3">
      <c r="A52" s="23" t="s">
        <v>63</v>
      </c>
      <c r="B52" s="23">
        <v>389</v>
      </c>
      <c r="C52" s="23">
        <v>414</v>
      </c>
      <c r="D52" s="23">
        <v>397</v>
      </c>
    </row>
    <row r="53" spans="1:5" ht="15.75" thickTop="1" x14ac:dyDescent="0.25">
      <c r="A53" s="4" t="s">
        <v>64</v>
      </c>
      <c r="B53" s="4"/>
      <c r="C53" s="4"/>
      <c r="D53" s="4"/>
    </row>
    <row r="54" spans="1:5" x14ac:dyDescent="0.25">
      <c r="A54" s="26" t="s">
        <v>120</v>
      </c>
      <c r="B54" s="26">
        <v>254</v>
      </c>
      <c r="C54" s="26">
        <v>271</v>
      </c>
      <c r="D54" s="26">
        <v>264</v>
      </c>
    </row>
    <row r="55" spans="1:5" x14ac:dyDescent="0.25">
      <c r="A55" s="4" t="s">
        <v>66</v>
      </c>
      <c r="B55" s="4"/>
      <c r="C55" s="4"/>
      <c r="D55" s="4"/>
    </row>
    <row r="56" spans="1:5" x14ac:dyDescent="0.25">
      <c r="A56" s="18" t="s">
        <v>67</v>
      </c>
      <c r="B56" s="18">
        <v>186</v>
      </c>
      <c r="C56" s="18">
        <v>211</v>
      </c>
      <c r="D56" s="18">
        <v>201</v>
      </c>
    </row>
    <row r="57" spans="1:5" x14ac:dyDescent="0.25">
      <c r="A57" s="4" t="s">
        <v>68</v>
      </c>
      <c r="B57" s="4"/>
      <c r="C57" s="4"/>
      <c r="D57" s="4"/>
    </row>
    <row r="58" spans="1:5" x14ac:dyDescent="0.25">
      <c r="A58" s="18" t="s">
        <v>69</v>
      </c>
      <c r="B58" s="18">
        <v>630</v>
      </c>
      <c r="C58" s="18">
        <v>675</v>
      </c>
      <c r="D58" s="18">
        <v>639</v>
      </c>
    </row>
    <row r="59" spans="1:5" x14ac:dyDescent="0.25">
      <c r="A59" s="4" t="s">
        <v>70</v>
      </c>
      <c r="B59" s="4"/>
      <c r="C59" s="4"/>
      <c r="D59" s="4"/>
    </row>
    <row r="60" spans="1:5" x14ac:dyDescent="0.25">
      <c r="A60" s="18" t="s">
        <v>192</v>
      </c>
      <c r="B60" s="18">
        <v>291</v>
      </c>
      <c r="C60" s="18">
        <v>322</v>
      </c>
      <c r="D60" s="18">
        <v>302</v>
      </c>
    </row>
    <row r="61" spans="1:5" x14ac:dyDescent="0.25">
      <c r="A61" t="s">
        <v>72</v>
      </c>
    </row>
    <row r="62" spans="1:5" x14ac:dyDescent="0.25">
      <c r="A62" s="20" t="s">
        <v>73</v>
      </c>
      <c r="B62" s="20">
        <v>73</v>
      </c>
      <c r="C62" s="20">
        <v>82</v>
      </c>
      <c r="D62" s="20">
        <v>77</v>
      </c>
      <c r="E62" t="s">
        <v>165</v>
      </c>
    </row>
    <row r="63" spans="1:5" x14ac:dyDescent="0.25">
      <c r="A63" s="4" t="s">
        <v>74</v>
      </c>
      <c r="B63" s="4"/>
      <c r="C63" s="4"/>
      <c r="D63" s="4"/>
    </row>
    <row r="64" spans="1:5" x14ac:dyDescent="0.25">
      <c r="A64" s="18" t="s">
        <v>75</v>
      </c>
      <c r="B64" s="18">
        <v>394</v>
      </c>
      <c r="C64" s="18">
        <v>426</v>
      </c>
      <c r="D64" s="18">
        <v>411</v>
      </c>
    </row>
    <row r="65" spans="1:4" ht="15.75" thickBot="1" x14ac:dyDescent="0.3">
      <c r="A65" s="4" t="s">
        <v>76</v>
      </c>
      <c r="B65" s="4"/>
      <c r="C65" s="4"/>
      <c r="D65" s="4"/>
    </row>
    <row r="66" spans="1:4" ht="16.5" thickTop="1" thickBot="1" x14ac:dyDescent="0.3">
      <c r="A66" s="27" t="s">
        <v>77</v>
      </c>
      <c r="B66" s="27">
        <v>171</v>
      </c>
      <c r="C66" s="27">
        <v>192</v>
      </c>
      <c r="D66" s="27">
        <v>185</v>
      </c>
    </row>
    <row r="67" spans="1:4" ht="15.75" thickTop="1" x14ac:dyDescent="0.25">
      <c r="A67" s="4" t="s">
        <v>78</v>
      </c>
      <c r="B67" s="4"/>
      <c r="C67" s="4"/>
      <c r="D67" s="4"/>
    </row>
    <row r="68" spans="1:4" x14ac:dyDescent="0.25">
      <c r="A68" s="18" t="s">
        <v>79</v>
      </c>
      <c r="B68" s="18">
        <v>135</v>
      </c>
      <c r="C68" s="18">
        <v>167</v>
      </c>
      <c r="D68" s="18">
        <v>154</v>
      </c>
    </row>
    <row r="69" spans="1:4" x14ac:dyDescent="0.25">
      <c r="A69" s="4" t="s">
        <v>80</v>
      </c>
      <c r="B69" s="4"/>
      <c r="C69" s="4"/>
      <c r="D69" s="4"/>
    </row>
    <row r="70" spans="1:4" x14ac:dyDescent="0.25">
      <c r="A70" s="18" t="s">
        <v>81</v>
      </c>
      <c r="B70" s="19">
        <v>65184</v>
      </c>
      <c r="C70" s="19">
        <v>70398</v>
      </c>
      <c r="D70" s="19">
        <v>67425</v>
      </c>
    </row>
    <row r="71" spans="1:4" x14ac:dyDescent="0.25">
      <c r="A71" s="4" t="s">
        <v>82</v>
      </c>
      <c r="B71" s="4"/>
      <c r="C71" s="4"/>
      <c r="D71" s="4"/>
    </row>
    <row r="72" spans="1:4" x14ac:dyDescent="0.25">
      <c r="A72" s="18" t="s">
        <v>150</v>
      </c>
      <c r="B72" s="19">
        <v>62799</v>
      </c>
      <c r="C72" s="19">
        <v>71743</v>
      </c>
      <c r="D72" s="19">
        <v>67049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187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1943-E3D1-465D-B0E0-B9C025DB07E1}">
  <dimension ref="A1:E88"/>
  <sheetViews>
    <sheetView topLeftCell="A41" workbookViewId="0">
      <selection activeCell="D79" sqref="D79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</v>
      </c>
      <c r="C2" s="18">
        <v>4.6100000000000003</v>
      </c>
      <c r="D2" s="18">
        <v>4.7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4.16</v>
      </c>
      <c r="C4" s="18">
        <v>4</v>
      </c>
      <c r="D4" s="18">
        <v>4.08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3.51</v>
      </c>
      <c r="C6" s="18">
        <v>3.4</v>
      </c>
      <c r="D6" s="18">
        <v>3.46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80.680000000000007</v>
      </c>
      <c r="C8" s="20">
        <v>81.010000000000005</v>
      </c>
      <c r="D8" s="20">
        <v>80.94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110.8</v>
      </c>
      <c r="C10" s="20">
        <v>112.2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6784</v>
      </c>
      <c r="C12" s="21">
        <v>6986</v>
      </c>
      <c r="D12" s="21">
        <v>6861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22304</v>
      </c>
      <c r="C14" s="29">
        <v>23099</v>
      </c>
      <c r="D14" s="29">
        <v>22682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2617</v>
      </c>
      <c r="C16" s="21">
        <v>2705</v>
      </c>
      <c r="D16" s="21">
        <v>2665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136</v>
      </c>
      <c r="C18" s="18">
        <v>142</v>
      </c>
      <c r="D18" s="18">
        <v>140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171</v>
      </c>
      <c r="C20" s="20">
        <v>178</v>
      </c>
      <c r="D20" s="20">
        <v>176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144</v>
      </c>
      <c r="C22" s="21">
        <v>153</v>
      </c>
      <c r="D22" s="21">
        <v>151.36000000000001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4026</v>
      </c>
      <c r="C24" s="24">
        <v>4146</v>
      </c>
      <c r="D24" s="24">
        <v>4082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54802</v>
      </c>
      <c r="C26" s="21">
        <v>58739</v>
      </c>
      <c r="D26" s="21">
        <v>56825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24808</v>
      </c>
      <c r="C28" s="21">
        <v>25300</v>
      </c>
      <c r="D28" s="21">
        <v>25043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16.3</v>
      </c>
      <c r="C30" s="20">
        <v>22.06</v>
      </c>
      <c r="D30" s="20">
        <v>20.23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96.3</v>
      </c>
      <c r="C32" s="25">
        <v>98.14</v>
      </c>
      <c r="D32" s="25">
        <v>97.89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1.173</v>
      </c>
      <c r="C34" s="23">
        <v>1.1930000000000001</v>
      </c>
      <c r="D34" s="23">
        <v>1.177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6" t="s">
        <v>115</v>
      </c>
      <c r="B36" s="26">
        <v>152.16999999999999</v>
      </c>
      <c r="C36" s="26">
        <v>155.97999999999999</v>
      </c>
      <c r="D36" s="26">
        <v>155.22999999999999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1.341</v>
      </c>
      <c r="C38" s="26">
        <v>1.3680000000000001</v>
      </c>
      <c r="D38" s="26">
        <v>1.3480000000000001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0.72699999999999998</v>
      </c>
      <c r="C40" s="20">
        <v>0.74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62.75</v>
      </c>
      <c r="C42" s="20">
        <v>66.98</v>
      </c>
      <c r="D42" s="20">
        <v>66.78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67.45</v>
      </c>
      <c r="C44" s="20">
        <v>72.42</v>
      </c>
      <c r="D44" s="20">
        <v>71.92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2.78</v>
      </c>
      <c r="C46" s="19">
        <v>3.4</v>
      </c>
      <c r="D46" s="19">
        <v>2.97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4859</v>
      </c>
      <c r="C48" s="21">
        <v>5144</v>
      </c>
      <c r="D48" s="21">
        <v>5019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5.61</v>
      </c>
      <c r="C50" s="20">
        <v>6.06</v>
      </c>
      <c r="D50" s="20">
        <v>5.77</v>
      </c>
      <c r="E50" t="s">
        <v>166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71</v>
      </c>
      <c r="C52" s="23">
        <v>87</v>
      </c>
      <c r="D52" s="23">
        <v>79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389</v>
      </c>
      <c r="C54" s="18">
        <v>412</v>
      </c>
      <c r="D54" s="18">
        <v>398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250</v>
      </c>
      <c r="C56" s="18">
        <v>268</v>
      </c>
      <c r="D56" s="18">
        <v>261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192</v>
      </c>
      <c r="C58" s="18">
        <v>210</v>
      </c>
      <c r="D58" s="18">
        <v>205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622</v>
      </c>
      <c r="C60" s="18">
        <v>664</v>
      </c>
      <c r="D60" s="18">
        <v>645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291</v>
      </c>
      <c r="C62" s="18">
        <v>319</v>
      </c>
      <c r="D62" s="18">
        <v>303</v>
      </c>
      <c r="E62" t="s">
        <v>165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73</v>
      </c>
      <c r="C64" s="18">
        <v>81</v>
      </c>
      <c r="D64" s="18">
        <v>77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397</v>
      </c>
      <c r="C66" s="25">
        <v>426</v>
      </c>
      <c r="D66" s="25">
        <v>412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179</v>
      </c>
      <c r="C68" s="20">
        <v>193</v>
      </c>
      <c r="D68" s="20">
        <v>188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137</v>
      </c>
      <c r="C70" s="19">
        <v>166</v>
      </c>
      <c r="D70" s="19">
        <v>157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65006</v>
      </c>
      <c r="C72" s="19">
        <v>70988</v>
      </c>
      <c r="D72" s="19">
        <v>67440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195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B2A4-499C-48CF-8D93-55753EB650F1}">
  <dimension ref="A1:E88"/>
  <sheetViews>
    <sheetView topLeftCell="A29" workbookViewId="0">
      <selection activeCell="G70" sqref="G70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</v>
      </c>
      <c r="C2" s="18">
        <v>4.62</v>
      </c>
      <c r="D2" s="18">
        <v>4.7300000000000004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4.16</v>
      </c>
      <c r="C4" s="18">
        <v>4</v>
      </c>
      <c r="D4" s="18">
        <v>4.09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3.52</v>
      </c>
      <c r="C6" s="18">
        <v>3.4</v>
      </c>
      <c r="D6" s="18">
        <v>3.48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80.709999999999994</v>
      </c>
      <c r="C8" s="20">
        <v>81.05</v>
      </c>
      <c r="D8" s="20">
        <v>81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110.8</v>
      </c>
      <c r="C10" s="20">
        <v>112.2</v>
      </c>
      <c r="D10" s="20">
        <v>111.6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6798</v>
      </c>
      <c r="C12" s="21">
        <v>6981</v>
      </c>
      <c r="D12" s="21">
        <v>6909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22303</v>
      </c>
      <c r="C14" s="29">
        <v>23092</v>
      </c>
      <c r="D14" s="29">
        <v>22886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2617</v>
      </c>
      <c r="C16" s="21">
        <v>2703</v>
      </c>
      <c r="D16" s="21">
        <v>2663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137</v>
      </c>
      <c r="C18" s="18">
        <v>143</v>
      </c>
      <c r="D18" s="18">
        <v>141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179</v>
      </c>
      <c r="D20" s="20">
        <v>177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145</v>
      </c>
      <c r="C22" s="21">
        <v>154</v>
      </c>
      <c r="D22" s="21">
        <v>151.86000000000001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4030</v>
      </c>
      <c r="C24" s="24">
        <v>4156</v>
      </c>
      <c r="D24" s="24">
        <v>4082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56071</v>
      </c>
      <c r="C26" s="21">
        <v>58118</v>
      </c>
      <c r="D26" s="21">
        <v>56825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24809</v>
      </c>
      <c r="C28" s="21">
        <v>25329</v>
      </c>
      <c r="D28" s="21">
        <v>25260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16.510000000000002</v>
      </c>
      <c r="C30" s="20">
        <v>21.77</v>
      </c>
      <c r="D30" s="20">
        <v>19.09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96.37</v>
      </c>
      <c r="C32" s="25">
        <v>97.93</v>
      </c>
      <c r="D32" s="25">
        <v>97.8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1.173</v>
      </c>
      <c r="C34" s="23">
        <v>1.1919999999999999</v>
      </c>
      <c r="D34" s="23">
        <v>1.1779999999999999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6" t="s">
        <v>115</v>
      </c>
      <c r="B36" s="26">
        <v>152.51</v>
      </c>
      <c r="C36" s="26">
        <v>155.91</v>
      </c>
      <c r="D36" s="26">
        <v>154.93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1.341</v>
      </c>
      <c r="C38" s="26">
        <v>1.3680000000000001</v>
      </c>
      <c r="D38" s="26">
        <v>1.3480000000000001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0.72799999999999998</v>
      </c>
      <c r="C40" s="20">
        <v>0.73899999999999999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62.9</v>
      </c>
      <c r="C42" s="20">
        <v>67.31</v>
      </c>
      <c r="D42" s="20">
        <v>66.31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67.67</v>
      </c>
      <c r="C44" s="20">
        <v>72.77</v>
      </c>
      <c r="D44" s="20">
        <v>71.61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2.91</v>
      </c>
      <c r="C46" s="19">
        <v>3.41</v>
      </c>
      <c r="D46" s="19">
        <v>3.07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4893</v>
      </c>
      <c r="C48" s="21">
        <v>5172</v>
      </c>
      <c r="D48" s="21">
        <v>5148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5.64</v>
      </c>
      <c r="C50" s="20">
        <v>6.06</v>
      </c>
      <c r="D50" s="20">
        <v>5.87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73</v>
      </c>
      <c r="C52" s="23">
        <v>89</v>
      </c>
      <c r="D52" s="23">
        <v>85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388</v>
      </c>
      <c r="C54" s="18">
        <v>412</v>
      </c>
      <c r="D54" s="18">
        <v>397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252</v>
      </c>
      <c r="C56" s="18">
        <v>267</v>
      </c>
      <c r="D56" s="18">
        <v>265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194</v>
      </c>
      <c r="C58" s="18">
        <v>212</v>
      </c>
      <c r="D58" s="18">
        <v>210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624</v>
      </c>
      <c r="C60" s="18">
        <v>666</v>
      </c>
      <c r="D60" s="18">
        <v>656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293</v>
      </c>
      <c r="C62" s="26">
        <v>321</v>
      </c>
      <c r="D62" s="26">
        <v>315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73</v>
      </c>
      <c r="C64" s="18">
        <v>82</v>
      </c>
      <c r="D64" s="18">
        <v>79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398</v>
      </c>
      <c r="C66" s="25">
        <v>423</v>
      </c>
      <c r="D66" s="25">
        <v>412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181</v>
      </c>
      <c r="C68" s="20">
        <v>194</v>
      </c>
      <c r="D68" s="20">
        <v>190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137</v>
      </c>
      <c r="C70" s="19">
        <v>161</v>
      </c>
      <c r="D70" s="19">
        <v>148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65078</v>
      </c>
      <c r="C72" s="19">
        <v>69229</v>
      </c>
      <c r="D72" s="19">
        <v>66163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195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E3CD-AFF3-4F17-9076-4AEAD34212B4}">
  <dimension ref="A1:E88"/>
  <sheetViews>
    <sheetView topLeftCell="A38" workbookViewId="0">
      <selection activeCell="U55" sqref="U55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4.79</v>
      </c>
      <c r="C2" s="18">
        <v>4.63</v>
      </c>
      <c r="D2" s="18">
        <v>4.71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4.1500000000000004</v>
      </c>
      <c r="C4" s="18">
        <v>4</v>
      </c>
      <c r="D4" s="18">
        <v>4.04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3.51</v>
      </c>
      <c r="C6" s="18">
        <v>3.4</v>
      </c>
      <c r="D6" s="18">
        <v>3.46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80.72</v>
      </c>
      <c r="C8" s="20">
        <v>81.03</v>
      </c>
      <c r="D8" s="20">
        <v>80.87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110.9</v>
      </c>
      <c r="C10" s="20">
        <v>112.3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6781</v>
      </c>
      <c r="C12" s="21">
        <v>6963</v>
      </c>
      <c r="D12" s="21">
        <v>6837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22342</v>
      </c>
      <c r="C14" s="29">
        <v>23059</v>
      </c>
      <c r="D14" s="29">
        <v>22627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2598</v>
      </c>
      <c r="C16" s="21">
        <v>2696</v>
      </c>
      <c r="D16" s="21">
        <v>2620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135</v>
      </c>
      <c r="C18" s="18">
        <v>142</v>
      </c>
      <c r="D18" s="18">
        <v>139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172</v>
      </c>
      <c r="C20" s="20">
        <v>179</v>
      </c>
      <c r="D20" s="20">
        <v>175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144</v>
      </c>
      <c r="C22" s="21">
        <v>154</v>
      </c>
      <c r="D22" s="21">
        <v>149.49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4056</v>
      </c>
      <c r="C24" s="24">
        <v>4164</v>
      </c>
      <c r="D24" s="24">
        <v>4117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56101</v>
      </c>
      <c r="C26" s="21">
        <v>57998</v>
      </c>
      <c r="D26" s="21">
        <v>57321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24605</v>
      </c>
      <c r="C28" s="21">
        <v>25334</v>
      </c>
      <c r="D28" s="21">
        <v>24991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17.149999999999999</v>
      </c>
      <c r="C30" s="20">
        <v>22.45</v>
      </c>
      <c r="D30" s="20">
        <v>21.01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5" t="s">
        <v>107</v>
      </c>
      <c r="B32" s="25">
        <v>96.5</v>
      </c>
      <c r="C32" s="25">
        <v>98.13</v>
      </c>
      <c r="D32" s="25">
        <v>97.91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1.173</v>
      </c>
      <c r="C34" s="23">
        <v>1.1910000000000001</v>
      </c>
      <c r="D34" s="23">
        <v>1.1779999999999999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153.18</v>
      </c>
      <c r="C36" s="20">
        <v>156.55000000000001</v>
      </c>
      <c r="D36" s="20">
        <v>155.91999999999999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1.34</v>
      </c>
      <c r="C38" s="26">
        <v>1.367</v>
      </c>
      <c r="D38" s="26">
        <v>1.349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0.72699999999999998</v>
      </c>
      <c r="C40" s="20">
        <v>0.73899999999999999</v>
      </c>
      <c r="D40" s="20">
        <v>0.72899999999999998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63.24</v>
      </c>
      <c r="C42" s="20">
        <v>67.849999999999994</v>
      </c>
      <c r="D42" s="20">
        <v>66.290000000000006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67.72</v>
      </c>
      <c r="C44" s="20">
        <v>72.989999999999995</v>
      </c>
      <c r="D44" s="20">
        <v>71.44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2.88</v>
      </c>
      <c r="C46" s="19">
        <v>3.29</v>
      </c>
      <c r="D46" s="19">
        <v>2.99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4907</v>
      </c>
      <c r="C48" s="21">
        <v>5243</v>
      </c>
      <c r="D48" s="21">
        <v>5158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5.65</v>
      </c>
      <c r="C50" s="20">
        <v>6.04</v>
      </c>
      <c r="D50" s="20">
        <v>5.8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73</v>
      </c>
      <c r="C52" s="23">
        <v>90</v>
      </c>
      <c r="D52" s="23">
        <v>89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381</v>
      </c>
      <c r="C54" s="18">
        <v>401</v>
      </c>
      <c r="D54" s="18">
        <v>384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6" t="s">
        <v>120</v>
      </c>
      <c r="B56" s="26">
        <v>253</v>
      </c>
      <c r="C56" s="26">
        <v>274</v>
      </c>
      <c r="D56" s="26">
        <v>266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194</v>
      </c>
      <c r="C58" s="18">
        <v>210</v>
      </c>
      <c r="D58" s="18">
        <v>205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623</v>
      </c>
      <c r="C60" s="18">
        <v>663</v>
      </c>
      <c r="D60" s="18">
        <v>637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294</v>
      </c>
      <c r="C62" s="26">
        <v>318</v>
      </c>
      <c r="D62" s="26">
        <v>311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72</v>
      </c>
      <c r="C64" s="18">
        <v>81</v>
      </c>
      <c r="D64" s="18">
        <v>76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394</v>
      </c>
      <c r="C66" s="25">
        <v>416</v>
      </c>
      <c r="D66" s="25">
        <v>400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181</v>
      </c>
      <c r="C68" s="20">
        <v>199</v>
      </c>
      <c r="D68" s="20">
        <v>192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136</v>
      </c>
      <c r="C70" s="19">
        <v>155</v>
      </c>
      <c r="D70" s="19">
        <v>141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62403</v>
      </c>
      <c r="C72" s="19">
        <v>68711</v>
      </c>
      <c r="D72" s="19">
        <v>63353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F562-775F-44C9-9CEE-51705ED9437C}">
  <dimension ref="A1:E88"/>
  <sheetViews>
    <sheetView topLeftCell="A35" workbookViewId="0">
      <selection activeCell="A30" sqref="A1:E104857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4.78</v>
      </c>
      <c r="C2" s="18">
        <v>4.63</v>
      </c>
      <c r="D2" s="18">
        <v>4.68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4.1500000000000004</v>
      </c>
      <c r="C4" s="18">
        <v>3.99</v>
      </c>
      <c r="D4" s="18">
        <v>4.04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3.51</v>
      </c>
      <c r="C6" s="18">
        <v>3.39</v>
      </c>
      <c r="D6" s="18">
        <v>3.46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80.73</v>
      </c>
      <c r="C8" s="20">
        <v>81.02</v>
      </c>
      <c r="D8" s="20">
        <v>80.81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111</v>
      </c>
      <c r="C10" s="20">
        <v>112.3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6796</v>
      </c>
      <c r="C12" s="21">
        <v>6952</v>
      </c>
      <c r="D12" s="21">
        <v>6890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22374</v>
      </c>
      <c r="C14" s="29">
        <v>23037</v>
      </c>
      <c r="D14" s="29">
        <v>22863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2612</v>
      </c>
      <c r="C16" s="21">
        <v>2694</v>
      </c>
      <c r="D16" s="21">
        <v>2652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136</v>
      </c>
      <c r="C18" s="18">
        <v>143</v>
      </c>
      <c r="D18" s="18">
        <v>140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179</v>
      </c>
      <c r="D20" s="20">
        <v>177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146</v>
      </c>
      <c r="C22" s="21">
        <v>154</v>
      </c>
      <c r="D22" s="21">
        <v>149.56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4060</v>
      </c>
      <c r="C24" s="24">
        <v>4164</v>
      </c>
      <c r="D24" s="24">
        <v>4147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56512</v>
      </c>
      <c r="C26" s="21">
        <v>58790</v>
      </c>
      <c r="D26" s="21">
        <v>58583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24864</v>
      </c>
      <c r="C28" s="21">
        <v>25342</v>
      </c>
      <c r="D28" s="21">
        <v>24986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17.46</v>
      </c>
      <c r="C30" s="20">
        <v>21.94</v>
      </c>
      <c r="D30" s="20">
        <v>19.55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96.84</v>
      </c>
      <c r="C32" s="27">
        <v>98.45</v>
      </c>
      <c r="D32" s="27">
        <v>97.9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1.1719999999999999</v>
      </c>
      <c r="C34" s="23">
        <v>1.19</v>
      </c>
      <c r="D34" s="23">
        <v>1.1779999999999999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153.97999999999999</v>
      </c>
      <c r="C36" s="20">
        <v>157.27000000000001</v>
      </c>
      <c r="D36" s="20">
        <v>156.78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1.339</v>
      </c>
      <c r="C38" s="26">
        <v>1.3660000000000001</v>
      </c>
      <c r="D38" s="26">
        <v>1.351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0.72599999999999998</v>
      </c>
      <c r="C40" s="20">
        <v>0.73899999999999999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63.55</v>
      </c>
      <c r="C42" s="20">
        <v>68.11</v>
      </c>
      <c r="D42" s="20">
        <v>66.08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68.28</v>
      </c>
      <c r="C44" s="20">
        <v>73.55</v>
      </c>
      <c r="D44" s="20">
        <v>71.22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2.81</v>
      </c>
      <c r="C46" s="19">
        <v>3.21</v>
      </c>
      <c r="D46" s="19">
        <v>2.92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4934</v>
      </c>
      <c r="C48" s="21">
        <v>5268</v>
      </c>
      <c r="D48" s="21">
        <v>5182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5.65</v>
      </c>
      <c r="C50" s="20">
        <v>6.05</v>
      </c>
      <c r="D50" s="20">
        <v>5.9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79</v>
      </c>
      <c r="C52" s="23">
        <v>92</v>
      </c>
      <c r="D52" s="23">
        <v>87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382</v>
      </c>
      <c r="C54" s="18">
        <v>399</v>
      </c>
      <c r="D54" s="18">
        <v>389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256</v>
      </c>
      <c r="C56" s="20">
        <v>277</v>
      </c>
      <c r="D56" s="20">
        <v>272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195</v>
      </c>
      <c r="C58" s="18">
        <v>210</v>
      </c>
      <c r="D58" s="18">
        <v>209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624</v>
      </c>
      <c r="C60" s="18">
        <v>662</v>
      </c>
      <c r="D60" s="18">
        <v>639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297</v>
      </c>
      <c r="C62" s="26">
        <v>317</v>
      </c>
      <c r="D62" s="26">
        <v>311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73</v>
      </c>
      <c r="C64" s="18">
        <v>81</v>
      </c>
      <c r="D64" s="18">
        <v>78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396</v>
      </c>
      <c r="C66" s="25">
        <v>421</v>
      </c>
      <c r="D66" s="25">
        <v>409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178</v>
      </c>
      <c r="C68" s="20">
        <v>199</v>
      </c>
      <c r="D68" s="20">
        <v>193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136</v>
      </c>
      <c r="C70" s="19">
        <v>154</v>
      </c>
      <c r="D70" s="19">
        <v>146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62735</v>
      </c>
      <c r="C72" s="19">
        <v>69191</v>
      </c>
      <c r="D72" s="19">
        <v>66090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29F0-2E1F-41C6-8574-21F12A2DD222}">
  <dimension ref="A1:E88"/>
  <sheetViews>
    <sheetView topLeftCell="A30" workbookViewId="0">
      <selection activeCell="D62" sqref="D6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4.76</v>
      </c>
      <c r="C2" s="18">
        <v>4.6399999999999997</v>
      </c>
      <c r="D2" s="18">
        <v>4.7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4.1399999999999997</v>
      </c>
      <c r="C4" s="18">
        <v>4</v>
      </c>
      <c r="D4" s="18">
        <v>4.05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3.51</v>
      </c>
      <c r="C6" s="18">
        <v>3.41</v>
      </c>
      <c r="D6" s="18">
        <v>3.48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80.739999999999995</v>
      </c>
      <c r="C8" s="20">
        <v>81.05</v>
      </c>
      <c r="D8" s="20">
        <v>80.92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111.1</v>
      </c>
      <c r="C10" s="20">
        <v>112.2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6824</v>
      </c>
      <c r="C12" s="21">
        <v>6963</v>
      </c>
      <c r="D12" s="21">
        <v>6946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22370</v>
      </c>
      <c r="C14" s="29">
        <v>23199</v>
      </c>
      <c r="D14" s="29">
        <v>23152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2613</v>
      </c>
      <c r="C16" s="21">
        <v>2695</v>
      </c>
      <c r="D16" s="21">
        <v>2663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136</v>
      </c>
      <c r="C18" s="18">
        <v>144</v>
      </c>
      <c r="D18" s="18">
        <v>143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179</v>
      </c>
      <c r="D20" s="20">
        <v>176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144</v>
      </c>
      <c r="C22" s="21">
        <v>152</v>
      </c>
      <c r="D22" s="21">
        <v>148.38999999999999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4090</v>
      </c>
      <c r="C24" s="24">
        <v>4165</v>
      </c>
      <c r="D24" s="24">
        <v>4146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56601</v>
      </c>
      <c r="C26" s="21">
        <v>58911</v>
      </c>
      <c r="D26" s="21">
        <v>58753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24901</v>
      </c>
      <c r="C28" s="21">
        <v>25390</v>
      </c>
      <c r="D28" s="21">
        <v>25175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17.37</v>
      </c>
      <c r="C30" s="20">
        <v>21.77</v>
      </c>
      <c r="D30" s="20">
        <v>17.93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96.76</v>
      </c>
      <c r="C32" s="27">
        <v>98.34</v>
      </c>
      <c r="D32" s="27">
        <v>97.7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1.173</v>
      </c>
      <c r="C34" s="23">
        <v>1.1879999999999999</v>
      </c>
      <c r="D34" s="23">
        <v>1.181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153.44</v>
      </c>
      <c r="C36" s="20">
        <v>157.07</v>
      </c>
      <c r="D36" s="20">
        <v>156.15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1.337</v>
      </c>
      <c r="C38" s="26">
        <v>1.3660000000000001</v>
      </c>
      <c r="D38" s="26">
        <v>1.3540000000000001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0.72399999999999998</v>
      </c>
      <c r="C40" s="20">
        <v>0.73899999999999999</v>
      </c>
      <c r="D40" s="20">
        <v>0.73099999999999998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63.42</v>
      </c>
      <c r="C42" s="20">
        <v>68.03</v>
      </c>
      <c r="D42" s="20">
        <v>65.42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68.260000000000005</v>
      </c>
      <c r="C44" s="20">
        <v>73.540000000000006</v>
      </c>
      <c r="D44" s="20">
        <v>70.849999999999994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2.76</v>
      </c>
      <c r="C46" s="19">
        <v>3.2</v>
      </c>
      <c r="D46" s="19">
        <v>2.88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4951</v>
      </c>
      <c r="C48" s="21">
        <v>5293</v>
      </c>
      <c r="D48" s="21">
        <v>5180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5.64</v>
      </c>
      <c r="C50" s="20">
        <v>6.04</v>
      </c>
      <c r="D50" s="20">
        <v>5.99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74</v>
      </c>
      <c r="C52" s="23">
        <v>94</v>
      </c>
      <c r="D52" s="23">
        <v>89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383</v>
      </c>
      <c r="C54" s="18">
        <v>405</v>
      </c>
      <c r="D54" s="18">
        <v>401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262</v>
      </c>
      <c r="C56" s="20">
        <v>277</v>
      </c>
      <c r="D56" s="20">
        <v>274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194</v>
      </c>
      <c r="C58" s="18">
        <v>215</v>
      </c>
      <c r="D58" s="18">
        <v>211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627</v>
      </c>
      <c r="C60" s="18">
        <v>660</v>
      </c>
      <c r="D60" s="18">
        <v>654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298</v>
      </c>
      <c r="C62" s="26">
        <v>317</v>
      </c>
      <c r="D62" s="26">
        <v>313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74</v>
      </c>
      <c r="C64" s="18">
        <v>85</v>
      </c>
      <c r="D64" s="18">
        <v>83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397</v>
      </c>
      <c r="C66" s="25">
        <v>424</v>
      </c>
      <c r="D66" s="25">
        <v>417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0" t="s">
        <v>101</v>
      </c>
      <c r="B68" s="20">
        <v>185</v>
      </c>
      <c r="C68" s="20">
        <v>199</v>
      </c>
      <c r="D68" s="20">
        <v>196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136</v>
      </c>
      <c r="C70" s="19">
        <v>158</v>
      </c>
      <c r="D70" s="19">
        <v>148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62965</v>
      </c>
      <c r="C72" s="19">
        <v>69994</v>
      </c>
      <c r="D72" s="19">
        <v>68211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1F98-86AF-43E4-8368-F35D986B06D6}">
  <dimension ref="A1:E88"/>
  <sheetViews>
    <sheetView topLeftCell="A47" workbookViewId="0">
      <selection activeCell="A68" sqref="A68:D68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4.74</v>
      </c>
      <c r="C2" s="18">
        <v>4.63</v>
      </c>
      <c r="D2" s="18">
        <v>4.66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4.09</v>
      </c>
      <c r="C4" s="18">
        <v>3.97</v>
      </c>
      <c r="D4" s="18">
        <v>4.01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3.49</v>
      </c>
      <c r="C6" s="18">
        <v>3.38</v>
      </c>
      <c r="D6" s="18">
        <v>3.44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80.709999999999994</v>
      </c>
      <c r="C8" s="20">
        <v>81.02</v>
      </c>
      <c r="D8" s="20">
        <v>80.849999999999994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111.2</v>
      </c>
      <c r="C10" s="20">
        <v>112.1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6801</v>
      </c>
      <c r="C12" s="21">
        <v>6961</v>
      </c>
      <c r="D12" s="21">
        <v>6908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22402</v>
      </c>
      <c r="C14" s="29">
        <v>23198</v>
      </c>
      <c r="D14" s="29">
        <v>22878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2620</v>
      </c>
      <c r="C16" s="21">
        <v>2698</v>
      </c>
      <c r="D16" s="21">
        <v>2677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137</v>
      </c>
      <c r="C18" s="18">
        <v>143</v>
      </c>
      <c r="D18" s="18">
        <v>141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179</v>
      </c>
      <c r="D20" s="20">
        <v>177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146</v>
      </c>
      <c r="C22" s="21">
        <v>154</v>
      </c>
      <c r="D22" s="21">
        <v>149.79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4088</v>
      </c>
      <c r="C24" s="24">
        <v>4181</v>
      </c>
      <c r="D24" s="24">
        <v>4162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56621</v>
      </c>
      <c r="C26" s="21">
        <v>59011</v>
      </c>
      <c r="D26" s="21">
        <v>58850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24903</v>
      </c>
      <c r="C28" s="21">
        <v>25418</v>
      </c>
      <c r="D28" s="21">
        <v>25289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17.5</v>
      </c>
      <c r="C30" s="20">
        <v>21.73</v>
      </c>
      <c r="D30" s="20">
        <v>18.63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7" t="s">
        <v>100</v>
      </c>
      <c r="B32" s="27">
        <v>97.07</v>
      </c>
      <c r="C32" s="27">
        <v>98.17</v>
      </c>
      <c r="D32" s="27">
        <v>97.72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3" t="s">
        <v>103</v>
      </c>
      <c r="B34" s="23">
        <v>1.1719999999999999</v>
      </c>
      <c r="C34" s="23">
        <v>1.1879999999999999</v>
      </c>
      <c r="D34" s="23">
        <v>1.18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153.4</v>
      </c>
      <c r="C36" s="20">
        <v>157.09</v>
      </c>
      <c r="D36" s="20">
        <v>155.94999999999999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26" t="s">
        <v>104</v>
      </c>
      <c r="B38" s="26">
        <v>1.335</v>
      </c>
      <c r="C38" s="26">
        <v>1.365</v>
      </c>
      <c r="D38" s="26">
        <v>1.347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0.72299999999999998</v>
      </c>
      <c r="C40" s="20">
        <v>0.73899999999999999</v>
      </c>
      <c r="D40" s="20">
        <v>0.73099999999999998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63.71</v>
      </c>
      <c r="C42" s="20">
        <v>68.12</v>
      </c>
      <c r="D42" s="20">
        <v>65.459999999999994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68.75</v>
      </c>
      <c r="C44" s="20">
        <v>73.98</v>
      </c>
      <c r="D44" s="20">
        <v>70.88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2.71</v>
      </c>
      <c r="C46" s="19">
        <v>3.21</v>
      </c>
      <c r="D46" s="19">
        <v>2.84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4975</v>
      </c>
      <c r="C48" s="21">
        <v>5299</v>
      </c>
      <c r="D48" s="21">
        <v>5184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5.66</v>
      </c>
      <c r="C50" s="20">
        <v>6.14</v>
      </c>
      <c r="D50" s="20">
        <v>5.97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79</v>
      </c>
      <c r="C52" s="23">
        <v>96</v>
      </c>
      <c r="D52" s="23">
        <v>88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383</v>
      </c>
      <c r="C54" s="18">
        <v>406</v>
      </c>
      <c r="D54" s="18">
        <v>402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261</v>
      </c>
      <c r="C56" s="20">
        <v>278</v>
      </c>
      <c r="D56" s="20">
        <v>273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196</v>
      </c>
      <c r="C58" s="18">
        <v>214</v>
      </c>
      <c r="D58" s="18">
        <v>208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628</v>
      </c>
      <c r="C60" s="18">
        <v>663</v>
      </c>
      <c r="D60" s="18">
        <v>657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300</v>
      </c>
      <c r="C62" s="26">
        <v>317</v>
      </c>
      <c r="D62" s="26">
        <v>307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6" t="s">
        <v>199</v>
      </c>
      <c r="B64" s="26">
        <v>76</v>
      </c>
      <c r="C64" s="26">
        <v>93</v>
      </c>
      <c r="D64" s="26">
        <v>85</v>
      </c>
    </row>
    <row r="65" spans="1:4" ht="15.75" thickBot="1" x14ac:dyDescent="0.3">
      <c r="A65" s="4" t="s">
        <v>74</v>
      </c>
      <c r="B65" s="4"/>
      <c r="C65" s="4"/>
      <c r="D65" s="4"/>
    </row>
    <row r="66" spans="1:4" ht="16.5" thickTop="1" thickBot="1" x14ac:dyDescent="0.3">
      <c r="A66" s="25" t="s">
        <v>75</v>
      </c>
      <c r="B66" s="25">
        <v>398</v>
      </c>
      <c r="C66" s="25">
        <v>421</v>
      </c>
      <c r="D66" s="25">
        <v>409</v>
      </c>
    </row>
    <row r="67" spans="1:4" ht="15.75" thickTop="1" x14ac:dyDescent="0.25">
      <c r="A67" s="4" t="s">
        <v>76</v>
      </c>
      <c r="B67" s="4"/>
      <c r="C67" s="4"/>
      <c r="D67" s="4"/>
    </row>
    <row r="68" spans="1:4" x14ac:dyDescent="0.25">
      <c r="A68" s="26" t="s">
        <v>77</v>
      </c>
      <c r="B68" s="26">
        <v>178</v>
      </c>
      <c r="C68" s="26">
        <v>193</v>
      </c>
      <c r="D68" s="26">
        <v>185</v>
      </c>
    </row>
    <row r="69" spans="1:4" x14ac:dyDescent="0.25">
      <c r="A69" s="4" t="s">
        <v>78</v>
      </c>
      <c r="B69" s="4"/>
      <c r="C69" s="4"/>
      <c r="D69" s="4"/>
    </row>
    <row r="70" spans="1:4" x14ac:dyDescent="0.25">
      <c r="A70" s="18" t="s">
        <v>79</v>
      </c>
      <c r="B70" s="19">
        <v>136</v>
      </c>
      <c r="C70" s="19">
        <v>161</v>
      </c>
      <c r="D70" s="19">
        <v>150</v>
      </c>
    </row>
    <row r="71" spans="1:4" x14ac:dyDescent="0.25">
      <c r="A71" s="4" t="s">
        <v>80</v>
      </c>
      <c r="B71" s="4"/>
      <c r="C71" s="4"/>
      <c r="D71" s="4"/>
    </row>
    <row r="72" spans="1:4" x14ac:dyDescent="0.25">
      <c r="A72" s="18" t="s">
        <v>81</v>
      </c>
      <c r="B72" s="19">
        <v>63093</v>
      </c>
      <c r="C72" s="19">
        <v>69804</v>
      </c>
      <c r="D72" s="19">
        <v>65976</v>
      </c>
    </row>
    <row r="73" spans="1:4" x14ac:dyDescent="0.25">
      <c r="A73" s="4" t="s">
        <v>82</v>
      </c>
      <c r="B73" s="4"/>
      <c r="C73" s="4"/>
      <c r="D73" s="4"/>
    </row>
    <row r="76" spans="1:4" ht="23.25" x14ac:dyDescent="0.35">
      <c r="A76" s="32" t="s">
        <v>164</v>
      </c>
    </row>
    <row r="77" spans="1:4" ht="30" x14ac:dyDescent="0.25">
      <c r="A77" s="31" t="s">
        <v>152</v>
      </c>
    </row>
    <row r="78" spans="1:4" ht="30" x14ac:dyDescent="0.25">
      <c r="A78" s="31" t="s">
        <v>153</v>
      </c>
    </row>
    <row r="79" spans="1:4" ht="45" x14ac:dyDescent="0.25">
      <c r="A79" s="31" t="s">
        <v>154</v>
      </c>
    </row>
    <row r="80" spans="1:4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92A1-202B-4343-9041-92493AF94CA1}">
  <dimension ref="A1:E88"/>
  <sheetViews>
    <sheetView topLeftCell="A38" workbookViewId="0">
      <selection activeCell="C71" sqref="C71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4.72</v>
      </c>
      <c r="C2" s="18">
        <v>4.5999999999999996</v>
      </c>
      <c r="D2" s="18">
        <v>4.62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4.09</v>
      </c>
      <c r="C4" s="18">
        <v>3.93</v>
      </c>
      <c r="D4" s="18">
        <v>3.95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3.48</v>
      </c>
      <c r="C6" s="18">
        <v>3.36</v>
      </c>
      <c r="D6" s="18">
        <v>3.39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80.55</v>
      </c>
      <c r="C8" s="20">
        <v>81.010000000000005</v>
      </c>
      <c r="D8" s="20">
        <v>80.72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111.3</v>
      </c>
      <c r="C10" s="20">
        <v>112</v>
      </c>
      <c r="D10" s="20">
        <v>111.7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6796</v>
      </c>
      <c r="C12" s="21">
        <v>6946</v>
      </c>
      <c r="D12" s="21">
        <v>6878</v>
      </c>
      <c r="E12" t="s">
        <v>149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22302</v>
      </c>
      <c r="C14" s="29">
        <v>23009</v>
      </c>
      <c r="D14" s="29">
        <v>22668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2595</v>
      </c>
      <c r="C16" s="21">
        <v>2689</v>
      </c>
      <c r="D16" s="21">
        <v>2632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142</v>
      </c>
      <c r="D18" s="18">
        <v>139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179</v>
      </c>
      <c r="D20" s="20">
        <v>177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147</v>
      </c>
      <c r="C22" s="21">
        <v>157</v>
      </c>
      <c r="D22" s="21">
        <v>153.72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4102</v>
      </c>
      <c r="C24" s="24">
        <v>4193</v>
      </c>
      <c r="D24" s="24">
        <v>4182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55916</v>
      </c>
      <c r="C26" s="21">
        <v>59925</v>
      </c>
      <c r="D26" s="21">
        <v>58057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20" t="s">
        <v>113</v>
      </c>
      <c r="B28" s="21">
        <v>24801</v>
      </c>
      <c r="C28" s="21">
        <v>25411</v>
      </c>
      <c r="D28" s="21">
        <v>25284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17.66</v>
      </c>
      <c r="C30" s="20">
        <v>22.33</v>
      </c>
      <c r="D30" s="20">
        <v>19.86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97.3</v>
      </c>
      <c r="C32" s="23">
        <v>98.39</v>
      </c>
      <c r="D32" s="23">
        <v>98.35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7" t="s">
        <v>98</v>
      </c>
      <c r="B34" s="27">
        <v>1.171</v>
      </c>
      <c r="C34" s="27">
        <v>1.1850000000000001</v>
      </c>
      <c r="D34" s="27">
        <v>1.1719999999999999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154.06</v>
      </c>
      <c r="C36" s="20">
        <v>157.32</v>
      </c>
      <c r="D36" s="20">
        <v>157.18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1.3360000000000001</v>
      </c>
      <c r="C38" s="18">
        <v>1.359</v>
      </c>
      <c r="D38" s="18">
        <v>1.341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0.72499999999999998</v>
      </c>
      <c r="C40" s="20">
        <v>0.73599999999999999</v>
      </c>
      <c r="D40" s="20">
        <v>0.73199999999999998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63.96</v>
      </c>
      <c r="C42" s="20">
        <v>74.069999999999993</v>
      </c>
      <c r="D42" s="20">
        <v>67.290000000000006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68.97</v>
      </c>
      <c r="C44" s="20">
        <v>79.39</v>
      </c>
      <c r="D44" s="20">
        <v>73.19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2.76</v>
      </c>
      <c r="C46" s="19">
        <v>3.2</v>
      </c>
      <c r="D46" s="19">
        <v>2.86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4998</v>
      </c>
      <c r="C48" s="21">
        <v>5424</v>
      </c>
      <c r="D48" s="21">
        <v>5392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5.67</v>
      </c>
      <c r="C50" s="20">
        <v>6.19</v>
      </c>
      <c r="D50" s="20">
        <v>6.01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75</v>
      </c>
      <c r="C52" s="23">
        <v>98</v>
      </c>
      <c r="D52" s="23">
        <v>94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382</v>
      </c>
      <c r="C54" s="18">
        <v>405</v>
      </c>
      <c r="D54" s="18">
        <v>393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0" t="s">
        <v>65</v>
      </c>
      <c r="B56" s="20">
        <v>255</v>
      </c>
      <c r="C56" s="20">
        <v>276</v>
      </c>
      <c r="D56" s="20">
        <v>264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199</v>
      </c>
      <c r="C58" s="18">
        <v>214</v>
      </c>
      <c r="D58" s="18">
        <v>210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628</v>
      </c>
      <c r="C60" s="18">
        <v>661</v>
      </c>
      <c r="D60" s="18">
        <v>648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297</v>
      </c>
      <c r="C62" s="26">
        <v>316</v>
      </c>
      <c r="D62" s="26">
        <v>312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83</v>
      </c>
      <c r="C64" s="20">
        <v>99</v>
      </c>
      <c r="D64" s="20">
        <v>96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395</v>
      </c>
      <c r="C66" s="25">
        <v>419</v>
      </c>
      <c r="D66" s="25">
        <v>403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171</v>
      </c>
      <c r="C68" s="18">
        <v>188</v>
      </c>
      <c r="D68" s="18">
        <v>177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135</v>
      </c>
      <c r="C70" s="19">
        <v>161</v>
      </c>
      <c r="D70" s="19">
        <v>145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62937</v>
      </c>
      <c r="C72" s="19">
        <v>68996</v>
      </c>
      <c r="D72" s="19">
        <v>66127</v>
      </c>
      <c r="E72" t="s">
        <v>200</v>
      </c>
    </row>
    <row r="73" spans="1:5" x14ac:dyDescent="0.25">
      <c r="A73" s="4" t="s">
        <v>82</v>
      </c>
      <c r="B73" s="4"/>
      <c r="C73" s="4"/>
      <c r="D73" s="4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153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B347-64F3-49DA-BA52-AE9B05D4851E}">
  <dimension ref="A1:E88"/>
  <sheetViews>
    <sheetView topLeftCell="A41" workbookViewId="0">
      <selection activeCell="C63" sqref="C63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4.75</v>
      </c>
      <c r="C2" s="18">
        <v>4.6100000000000003</v>
      </c>
      <c r="D2" s="18">
        <v>4.68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4.1100000000000003</v>
      </c>
      <c r="C4" s="18">
        <v>3.95</v>
      </c>
      <c r="D4" s="18">
        <v>4.04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3.56</v>
      </c>
      <c r="C6" s="18">
        <v>3.38</v>
      </c>
      <c r="D6" s="18">
        <v>3.48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0" t="s">
        <v>83</v>
      </c>
      <c r="B8" s="20">
        <v>80.16</v>
      </c>
      <c r="C8" s="20">
        <v>80.599999999999994</v>
      </c>
      <c r="D8" s="20">
        <v>80.28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110.6</v>
      </c>
      <c r="C10" s="20">
        <v>111.8</v>
      </c>
      <c r="D10" s="20">
        <v>110.9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6" t="s">
        <v>202</v>
      </c>
      <c r="B12" s="28">
        <v>6756</v>
      </c>
      <c r="C12" s="28">
        <v>6945</v>
      </c>
      <c r="D12" s="28">
        <v>6881</v>
      </c>
      <c r="E12" t="s">
        <v>203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22303</v>
      </c>
      <c r="C14" s="29">
        <v>23109</v>
      </c>
      <c r="D14" s="29">
        <v>22748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2615</v>
      </c>
      <c r="C16" s="21">
        <v>2687</v>
      </c>
      <c r="D16" s="21">
        <v>2655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141</v>
      </c>
      <c r="D18" s="18">
        <v>140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180</v>
      </c>
      <c r="D20" s="20">
        <v>179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150</v>
      </c>
      <c r="C22" s="21">
        <v>160</v>
      </c>
      <c r="D22" s="21">
        <v>159.56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4082</v>
      </c>
      <c r="C24" s="24">
        <v>4191</v>
      </c>
      <c r="D24" s="24">
        <v>4122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55984</v>
      </c>
      <c r="C26" s="21">
        <v>59327</v>
      </c>
      <c r="D26" s="21">
        <v>56279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18" t="s">
        <v>37</v>
      </c>
      <c r="B28" s="19">
        <v>23516</v>
      </c>
      <c r="C28" s="19">
        <v>25201</v>
      </c>
      <c r="D28" s="19">
        <v>24638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17.75</v>
      </c>
      <c r="C30" s="20">
        <v>22.79</v>
      </c>
      <c r="D30" s="20">
        <v>21.44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97.62</v>
      </c>
      <c r="C32" s="23">
        <v>99.45</v>
      </c>
      <c r="D32" s="23">
        <v>99.16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1.1559999999999999</v>
      </c>
      <c r="C34" s="25">
        <v>1.1779999999999999</v>
      </c>
      <c r="D34" s="25">
        <v>1.161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154.1</v>
      </c>
      <c r="C36" s="20">
        <v>157.9</v>
      </c>
      <c r="D36" s="20">
        <v>157.69999999999999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1.325</v>
      </c>
      <c r="C38" s="18">
        <v>1.35</v>
      </c>
      <c r="D38" s="18">
        <v>1.3320000000000001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0.72499999999999998</v>
      </c>
      <c r="C40" s="20">
        <v>0.73399999999999999</v>
      </c>
      <c r="D40" s="20">
        <v>0.73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66.44</v>
      </c>
      <c r="C42" s="20">
        <v>77.14</v>
      </c>
      <c r="D42" s="20">
        <v>71.23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69.989999999999995</v>
      </c>
      <c r="C44" s="20">
        <v>85.41</v>
      </c>
      <c r="D44" s="20">
        <v>77.739999999999995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2.79</v>
      </c>
      <c r="C46" s="19">
        <v>3.28</v>
      </c>
      <c r="D46" s="19">
        <v>2.97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5011</v>
      </c>
      <c r="C48" s="21">
        <v>5419</v>
      </c>
      <c r="D48" s="21">
        <v>5203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5.67</v>
      </c>
      <c r="C50" s="20">
        <v>6.11</v>
      </c>
      <c r="D50" s="20">
        <v>5.92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76</v>
      </c>
      <c r="C52" s="23">
        <v>95</v>
      </c>
      <c r="D52" s="23">
        <v>90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382</v>
      </c>
      <c r="C54" s="18">
        <v>404</v>
      </c>
      <c r="D54" s="18">
        <v>399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6" t="s">
        <v>120</v>
      </c>
      <c r="B56" s="26">
        <v>256</v>
      </c>
      <c r="C56" s="26">
        <v>274</v>
      </c>
      <c r="D56" s="26">
        <v>265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198</v>
      </c>
      <c r="C58" s="18">
        <v>214</v>
      </c>
      <c r="D58" s="18">
        <v>208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632</v>
      </c>
      <c r="C60" s="18">
        <v>662</v>
      </c>
      <c r="D60" s="18">
        <v>654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297</v>
      </c>
      <c r="C62" s="18">
        <v>315</v>
      </c>
      <c r="D62" s="18">
        <v>307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85</v>
      </c>
      <c r="C64" s="20">
        <v>99</v>
      </c>
      <c r="D64" s="20">
        <v>97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394</v>
      </c>
      <c r="C66" s="25">
        <v>417</v>
      </c>
      <c r="D66" s="25">
        <v>403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171</v>
      </c>
      <c r="C68" s="18">
        <v>187</v>
      </c>
      <c r="D68" s="18">
        <v>182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136</v>
      </c>
      <c r="C70" s="19">
        <v>160</v>
      </c>
      <c r="D70" s="19">
        <v>149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62597</v>
      </c>
      <c r="C72" s="19">
        <v>69301</v>
      </c>
      <c r="D72" s="19">
        <v>67365</v>
      </c>
      <c r="E72" t="s">
        <v>200</v>
      </c>
    </row>
    <row r="73" spans="1:5" x14ac:dyDescent="0.25">
      <c r="A73" s="4" t="s">
        <v>82</v>
      </c>
      <c r="B73" s="4"/>
      <c r="C73" s="4"/>
      <c r="D73" s="4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153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ECC4-9C81-4130-A5C8-FE4635A4A878}">
  <dimension ref="A1:E88"/>
  <sheetViews>
    <sheetView workbookViewId="0">
      <selection activeCell="A2" sqref="A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4.76</v>
      </c>
      <c r="C2" s="18">
        <v>4.63</v>
      </c>
      <c r="D2" s="18">
        <v>4.71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4.1100000000000003</v>
      </c>
      <c r="C4" s="18">
        <v>3.95</v>
      </c>
      <c r="D4" s="18">
        <v>4.07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3.53</v>
      </c>
      <c r="C6" s="18">
        <v>3.38</v>
      </c>
      <c r="D6" s="18">
        <v>3.51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6" t="s">
        <v>19</v>
      </c>
      <c r="B8" s="26">
        <v>80.03</v>
      </c>
      <c r="C8" s="26">
        <v>80.52</v>
      </c>
      <c r="D8" s="26">
        <v>80.12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110.6</v>
      </c>
      <c r="C10" s="20">
        <v>111.6</v>
      </c>
      <c r="D10" s="20">
        <v>110.9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6" t="s">
        <v>202</v>
      </c>
      <c r="B12" s="28">
        <v>6751</v>
      </c>
      <c r="C12" s="28">
        <v>6899</v>
      </c>
      <c r="D12" s="28">
        <v>6816</v>
      </c>
      <c r="E12" t="s">
        <v>203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22366</v>
      </c>
      <c r="C14" s="29">
        <v>22981</v>
      </c>
      <c r="D14" s="29">
        <v>22516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2571</v>
      </c>
      <c r="C16" s="21">
        <v>2678</v>
      </c>
      <c r="D16" s="21">
        <v>2608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134</v>
      </c>
      <c r="C18" s="18">
        <v>141</v>
      </c>
      <c r="D18" s="18">
        <v>138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173</v>
      </c>
      <c r="C20" s="20">
        <v>179</v>
      </c>
      <c r="D20" s="20">
        <v>175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149</v>
      </c>
      <c r="C22" s="21">
        <v>161</v>
      </c>
      <c r="D22" s="21">
        <v>158.99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4062</v>
      </c>
      <c r="C24" s="24">
        <v>4185</v>
      </c>
      <c r="D24" s="24">
        <v>4082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53881</v>
      </c>
      <c r="C26" s="21">
        <v>59434</v>
      </c>
      <c r="D26" s="21">
        <v>54245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18" t="s">
        <v>37</v>
      </c>
      <c r="B28" s="19">
        <v>23751</v>
      </c>
      <c r="C28" s="19">
        <v>24843</v>
      </c>
      <c r="D28" s="19">
        <v>23790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17.989999999999998</v>
      </c>
      <c r="C30" s="20">
        <v>26.41</v>
      </c>
      <c r="D30" s="20">
        <v>23.57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97.83</v>
      </c>
      <c r="C32" s="23">
        <v>99.21</v>
      </c>
      <c r="D32" s="23">
        <v>98.85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1.1579999999999999</v>
      </c>
      <c r="C34" s="25">
        <v>1.1759999999999999</v>
      </c>
      <c r="D34" s="25">
        <v>1.1639999999999999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154.80000000000001</v>
      </c>
      <c r="C36" s="20">
        <v>158.32</v>
      </c>
      <c r="D36" s="20">
        <v>157.21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1.329</v>
      </c>
      <c r="C38" s="18">
        <v>1.3520000000000001</v>
      </c>
      <c r="D38" s="18">
        <v>1.3360000000000001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0.72599999999999998</v>
      </c>
      <c r="C40" s="20">
        <v>0.73399999999999999</v>
      </c>
      <c r="D40" s="20">
        <v>0.73199999999999998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67.48</v>
      </c>
      <c r="C42" s="20">
        <v>77.040000000000006</v>
      </c>
      <c r="D42" s="20">
        <v>74.56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72.260000000000005</v>
      </c>
      <c r="C44" s="20">
        <v>85.14</v>
      </c>
      <c r="D44" s="20">
        <v>81.400000000000006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2.75</v>
      </c>
      <c r="C46" s="19">
        <v>3.25</v>
      </c>
      <c r="D46" s="19">
        <v>3.06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5030</v>
      </c>
      <c r="C48" s="21">
        <v>5374</v>
      </c>
      <c r="D48" s="21">
        <v>5171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5.68</v>
      </c>
      <c r="C50" s="20">
        <v>6.1</v>
      </c>
      <c r="D50" s="20">
        <v>5.79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78</v>
      </c>
      <c r="C52" s="23">
        <v>97</v>
      </c>
      <c r="D52" s="23">
        <v>82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383</v>
      </c>
      <c r="C54" s="18">
        <v>410</v>
      </c>
      <c r="D54" s="18">
        <v>404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26" t="s">
        <v>120</v>
      </c>
      <c r="B56" s="26">
        <v>256</v>
      </c>
      <c r="C56" s="26">
        <v>274</v>
      </c>
      <c r="D56" s="26">
        <v>264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200</v>
      </c>
      <c r="C58" s="18">
        <v>213</v>
      </c>
      <c r="D58" s="18">
        <v>209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633</v>
      </c>
      <c r="C60" s="18">
        <v>664</v>
      </c>
      <c r="D60" s="18">
        <v>655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298</v>
      </c>
      <c r="C62" s="18">
        <v>315</v>
      </c>
      <c r="D62" s="18">
        <v>304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87</v>
      </c>
      <c r="C64" s="20">
        <v>105</v>
      </c>
      <c r="D64" s="20">
        <v>98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388</v>
      </c>
      <c r="C66" s="25">
        <v>415</v>
      </c>
      <c r="D66" s="25">
        <v>392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171</v>
      </c>
      <c r="C68" s="18">
        <v>186</v>
      </c>
      <c r="D68" s="18">
        <v>180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136</v>
      </c>
      <c r="C70" s="19">
        <v>157</v>
      </c>
      <c r="D70" s="19">
        <v>149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63209</v>
      </c>
      <c r="C72" s="19">
        <v>71994</v>
      </c>
      <c r="D72" s="19">
        <v>70979</v>
      </c>
      <c r="E72" t="s">
        <v>204</v>
      </c>
    </row>
    <row r="73" spans="1:5" x14ac:dyDescent="0.25">
      <c r="A73" s="4" t="s">
        <v>82</v>
      </c>
      <c r="B73" s="4"/>
      <c r="C73" s="4"/>
      <c r="D73" s="4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153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162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8B66-9E94-49F6-A692-D09BB4DC53E8}">
  <dimension ref="A1:J88"/>
  <sheetViews>
    <sheetView workbookViewId="0">
      <selection activeCell="D43" sqref="D43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10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10" x14ac:dyDescent="0.25">
      <c r="A2" s="18" t="s">
        <v>13</v>
      </c>
      <c r="B2" s="18">
        <v>4.7699999999999996</v>
      </c>
      <c r="C2" s="18">
        <v>4.62</v>
      </c>
      <c r="D2" s="18">
        <v>4.74</v>
      </c>
      <c r="G2" t="s">
        <v>206</v>
      </c>
      <c r="H2">
        <v>2.4700000000000002</v>
      </c>
      <c r="I2">
        <v>2.76</v>
      </c>
      <c r="J2">
        <v>2.62</v>
      </c>
    </row>
    <row r="3" spans="1:10" x14ac:dyDescent="0.25">
      <c r="A3" s="4" t="s">
        <v>14</v>
      </c>
      <c r="B3" s="4"/>
      <c r="C3" s="4"/>
      <c r="D3" s="4"/>
    </row>
    <row r="4" spans="1:10" x14ac:dyDescent="0.25">
      <c r="A4" s="18" t="s">
        <v>15</v>
      </c>
      <c r="B4" s="18">
        <v>4.1399999999999997</v>
      </c>
      <c r="C4" s="18">
        <v>3.95</v>
      </c>
      <c r="D4" s="18">
        <v>4.0999999999999996</v>
      </c>
    </row>
    <row r="5" spans="1:10" x14ac:dyDescent="0.25">
      <c r="A5" s="4" t="s">
        <v>16</v>
      </c>
      <c r="B5" s="4"/>
      <c r="C5" s="4"/>
      <c r="D5" s="4"/>
    </row>
    <row r="6" spans="1:10" x14ac:dyDescent="0.25">
      <c r="A6" s="18" t="s">
        <v>17</v>
      </c>
      <c r="B6" s="18">
        <v>3.58</v>
      </c>
      <c r="C6" s="18">
        <v>3.39</v>
      </c>
      <c r="D6" s="18">
        <v>3.56</v>
      </c>
    </row>
    <row r="7" spans="1:10" x14ac:dyDescent="0.25">
      <c r="A7" s="4" t="s">
        <v>18</v>
      </c>
      <c r="B7" s="4"/>
      <c r="C7" s="4"/>
      <c r="D7" s="4"/>
    </row>
    <row r="8" spans="1:10" x14ac:dyDescent="0.25">
      <c r="A8" s="20" t="s">
        <v>83</v>
      </c>
      <c r="B8" s="20">
        <v>80.069999999999993</v>
      </c>
      <c r="C8" s="20">
        <v>80.59</v>
      </c>
      <c r="D8" s="20">
        <v>80.400000000000006</v>
      </c>
    </row>
    <row r="9" spans="1:10" x14ac:dyDescent="0.25">
      <c r="A9" s="4" t="s">
        <v>20</v>
      </c>
      <c r="B9" s="4"/>
      <c r="C9" s="4"/>
      <c r="D9" s="4"/>
    </row>
    <row r="10" spans="1:10" x14ac:dyDescent="0.25">
      <c r="A10" s="20" t="s">
        <v>21</v>
      </c>
      <c r="B10" s="20">
        <v>110.6</v>
      </c>
      <c r="C10" s="20">
        <v>111.5</v>
      </c>
      <c r="D10" s="20">
        <v>111</v>
      </c>
    </row>
    <row r="11" spans="1:10" x14ac:dyDescent="0.25">
      <c r="A11" s="4" t="s">
        <v>22</v>
      </c>
      <c r="B11" s="4"/>
      <c r="C11" s="4"/>
      <c r="D11" s="4"/>
    </row>
    <row r="12" spans="1:10" x14ac:dyDescent="0.25">
      <c r="A12" s="20" t="s">
        <v>23</v>
      </c>
      <c r="B12" s="21">
        <v>6796</v>
      </c>
      <c r="C12" s="21">
        <v>6951</v>
      </c>
      <c r="D12" s="21">
        <v>6869</v>
      </c>
      <c r="E12" t="s">
        <v>203</v>
      </c>
    </row>
    <row r="13" spans="1:10" ht="15.75" thickBot="1" x14ac:dyDescent="0.3">
      <c r="A13" s="4" t="s">
        <v>24</v>
      </c>
      <c r="B13" s="4"/>
      <c r="C13" s="4"/>
      <c r="D13" s="4"/>
    </row>
    <row r="14" spans="1:10" ht="16.5" thickTop="1" thickBot="1" x14ac:dyDescent="0.3">
      <c r="A14" s="25" t="s">
        <v>25</v>
      </c>
      <c r="B14" s="29">
        <v>22406</v>
      </c>
      <c r="C14" s="29">
        <v>23198</v>
      </c>
      <c r="D14" s="29">
        <v>22807</v>
      </c>
    </row>
    <row r="15" spans="1:10" ht="15.75" thickTop="1" x14ac:dyDescent="0.25">
      <c r="A15" s="4" t="s">
        <v>26</v>
      </c>
      <c r="B15" s="4"/>
      <c r="C15" s="4"/>
      <c r="D15" s="4"/>
    </row>
    <row r="16" spans="1:10" x14ac:dyDescent="0.25">
      <c r="A16" s="20" t="s">
        <v>86</v>
      </c>
      <c r="B16" s="21">
        <v>2596</v>
      </c>
      <c r="C16" s="21">
        <v>2688</v>
      </c>
      <c r="D16" s="21">
        <v>2636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135</v>
      </c>
      <c r="C18" s="18">
        <v>142</v>
      </c>
      <c r="D18" s="18">
        <v>140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174</v>
      </c>
      <c r="C20" s="20">
        <v>180</v>
      </c>
      <c r="D20" s="20">
        <v>176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153</v>
      </c>
      <c r="C22" s="21">
        <v>164</v>
      </c>
      <c r="D22" s="21">
        <v>160.77000000000001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4065</v>
      </c>
      <c r="C24" s="24">
        <v>4184</v>
      </c>
      <c r="D24" s="24">
        <v>4108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54240</v>
      </c>
      <c r="C26" s="21">
        <v>60109</v>
      </c>
      <c r="D26" s="21">
        <v>55278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18" t="s">
        <v>37</v>
      </c>
      <c r="B28" s="19">
        <v>23804</v>
      </c>
      <c r="C28" s="19">
        <v>24806</v>
      </c>
      <c r="D28" s="19">
        <v>24205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17.97</v>
      </c>
      <c r="C30" s="20">
        <v>23.56</v>
      </c>
      <c r="D30" s="20">
        <v>21.15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97.91</v>
      </c>
      <c r="C32" s="23">
        <v>99.39</v>
      </c>
      <c r="D32" s="23">
        <v>98.91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1.1559999999999999</v>
      </c>
      <c r="C34" s="25">
        <v>1.1759999999999999</v>
      </c>
      <c r="D34" s="25">
        <v>1.1619999999999999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154.88</v>
      </c>
      <c r="C36" s="20">
        <v>158.62</v>
      </c>
      <c r="D36" s="20">
        <v>157.41999999999999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1.329</v>
      </c>
      <c r="C38" s="18">
        <v>1.351</v>
      </c>
      <c r="D38" s="18">
        <v>1.337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0.72499999999999998</v>
      </c>
      <c r="C40" s="20">
        <v>0.73399999999999999</v>
      </c>
      <c r="D40" s="20">
        <v>0.73299999999999998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68.56</v>
      </c>
      <c r="C42" s="20">
        <v>77.59</v>
      </c>
      <c r="D42" s="20">
        <v>76.11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74.97</v>
      </c>
      <c r="C44" s="20">
        <v>85.44</v>
      </c>
      <c r="D44" s="20">
        <v>82.54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2.71</v>
      </c>
      <c r="C46" s="19">
        <v>3.24</v>
      </c>
      <c r="D46" s="19">
        <v>2.94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5031</v>
      </c>
      <c r="C48" s="21">
        <v>5351</v>
      </c>
      <c r="D48" s="21">
        <v>5163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5.69</v>
      </c>
      <c r="C50" s="20">
        <v>6.07</v>
      </c>
      <c r="D50" s="20">
        <v>5.85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79</v>
      </c>
      <c r="C52" s="23">
        <v>95</v>
      </c>
      <c r="D52" s="23">
        <v>83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382</v>
      </c>
      <c r="C54" s="18">
        <v>412</v>
      </c>
      <c r="D54" s="18">
        <v>405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255</v>
      </c>
      <c r="C56" s="18">
        <v>271</v>
      </c>
      <c r="D56" s="18">
        <v>263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201</v>
      </c>
      <c r="C58" s="18">
        <v>219</v>
      </c>
      <c r="D58" s="18">
        <v>217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634</v>
      </c>
      <c r="C60" s="18">
        <v>672</v>
      </c>
      <c r="D60" s="18">
        <v>668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297</v>
      </c>
      <c r="C62" s="18">
        <v>314</v>
      </c>
      <c r="D62" s="18">
        <v>303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88</v>
      </c>
      <c r="C64" s="20">
        <v>107</v>
      </c>
      <c r="D64" s="20">
        <v>99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387</v>
      </c>
      <c r="C66" s="25">
        <v>416</v>
      </c>
      <c r="D66" s="25">
        <v>406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173</v>
      </c>
      <c r="C68" s="18">
        <v>187</v>
      </c>
      <c r="D68" s="18">
        <v>183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137</v>
      </c>
      <c r="C70" s="19">
        <v>156</v>
      </c>
      <c r="D70" s="19">
        <v>152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63513</v>
      </c>
      <c r="C72" s="19">
        <v>73906</v>
      </c>
      <c r="D72" s="19">
        <v>72950</v>
      </c>
      <c r="E72" t="s">
        <v>204</v>
      </c>
    </row>
    <row r="73" spans="1:5" x14ac:dyDescent="0.25">
      <c r="A73" s="4" t="s">
        <v>82</v>
      </c>
      <c r="B73" s="4"/>
      <c r="C73" s="4"/>
      <c r="D73" s="4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187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205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B2C0-27C9-4478-8F99-F8A682C485DA}">
  <dimension ref="A1:E88"/>
  <sheetViews>
    <sheetView workbookViewId="0">
      <selection sqref="A1:E104857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4.79</v>
      </c>
      <c r="C2" s="18">
        <v>4.62</v>
      </c>
      <c r="D2" s="18">
        <v>4.76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4.21</v>
      </c>
      <c r="C4" s="18">
        <v>3.95</v>
      </c>
      <c r="D4" s="18">
        <v>4.1399999999999997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3.62</v>
      </c>
      <c r="C6" s="18">
        <v>3.39</v>
      </c>
      <c r="D6" s="18">
        <v>3.59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26" t="s">
        <v>19</v>
      </c>
      <c r="B8" s="26">
        <v>80</v>
      </c>
      <c r="C8" s="26">
        <v>80.41</v>
      </c>
      <c r="D8" s="26">
        <v>80.08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110.3</v>
      </c>
      <c r="C10" s="20">
        <v>111.3</v>
      </c>
      <c r="D10" s="20">
        <v>110.5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20" t="s">
        <v>23</v>
      </c>
      <c r="B12" s="21">
        <v>6766</v>
      </c>
      <c r="C12" s="21">
        <v>6946</v>
      </c>
      <c r="D12" s="21">
        <v>6830</v>
      </c>
      <c r="E12" t="s">
        <v>203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22407</v>
      </c>
      <c r="C14" s="29">
        <v>23200</v>
      </c>
      <c r="D14" s="29">
        <v>22748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20" t="s">
        <v>86</v>
      </c>
      <c r="B16" s="21">
        <v>2565</v>
      </c>
      <c r="C16" s="21">
        <v>2672</v>
      </c>
      <c r="D16" s="21">
        <v>2585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135</v>
      </c>
      <c r="C18" s="18">
        <v>142</v>
      </c>
      <c r="D18" s="18">
        <v>140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172</v>
      </c>
      <c r="C20" s="20">
        <v>180</v>
      </c>
      <c r="D20" s="20">
        <v>172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154</v>
      </c>
      <c r="C22" s="21">
        <v>167</v>
      </c>
      <c r="D22" s="21">
        <v>163.82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4065</v>
      </c>
      <c r="C24" s="24">
        <v>4195</v>
      </c>
      <c r="D24" s="24">
        <v>4124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54201</v>
      </c>
      <c r="C26" s="21">
        <v>60119</v>
      </c>
      <c r="D26" s="21">
        <v>55620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18" t="s">
        <v>37</v>
      </c>
      <c r="B28" s="19">
        <v>23503</v>
      </c>
      <c r="C28" s="19">
        <v>24746</v>
      </c>
      <c r="D28" s="19">
        <v>23815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18.13</v>
      </c>
      <c r="C30" s="20">
        <v>25.66</v>
      </c>
      <c r="D30" s="20">
        <v>23.75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98.02</v>
      </c>
      <c r="C32" s="23">
        <v>99.84</v>
      </c>
      <c r="D32" s="23">
        <v>99.3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1.1499999999999999</v>
      </c>
      <c r="C34" s="25">
        <v>1.175</v>
      </c>
      <c r="D34" s="25">
        <v>1.1559999999999999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155.25</v>
      </c>
      <c r="C36" s="20">
        <v>158.91</v>
      </c>
      <c r="D36" s="20">
        <v>157.91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1.327</v>
      </c>
      <c r="C38" s="18">
        <v>1.349</v>
      </c>
      <c r="D38" s="18">
        <v>1.3340000000000001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0.72699999999999998</v>
      </c>
      <c r="C40" s="20">
        <v>0.73499999999999999</v>
      </c>
      <c r="D40" s="20">
        <v>0.73199999999999998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70.22</v>
      </c>
      <c r="C42" s="20">
        <v>86.11</v>
      </c>
      <c r="D42" s="20">
        <v>81.010000000000005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76.06</v>
      </c>
      <c r="C44" s="20">
        <v>87.44</v>
      </c>
      <c r="D44" s="20">
        <v>85.41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18" t="s">
        <v>116</v>
      </c>
      <c r="B46" s="19">
        <v>2.73</v>
      </c>
      <c r="C46" s="19">
        <v>3.2</v>
      </c>
      <c r="D46" s="19">
        <v>3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5026</v>
      </c>
      <c r="C48" s="21">
        <v>5343</v>
      </c>
      <c r="D48" s="21">
        <v>5089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5.69</v>
      </c>
      <c r="C50" s="20">
        <v>6.06</v>
      </c>
      <c r="D50" s="20">
        <v>5.79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80</v>
      </c>
      <c r="C52" s="23">
        <v>95</v>
      </c>
      <c r="D52" s="23">
        <v>83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381</v>
      </c>
      <c r="C54" s="18">
        <v>415</v>
      </c>
      <c r="D54" s="18">
        <v>411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255</v>
      </c>
      <c r="C56" s="18">
        <v>269</v>
      </c>
      <c r="D56" s="18">
        <v>260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200</v>
      </c>
      <c r="C58" s="18">
        <v>220</v>
      </c>
      <c r="D58" s="18">
        <v>219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635</v>
      </c>
      <c r="C60" s="18">
        <v>672</v>
      </c>
      <c r="D60" s="18">
        <v>661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295</v>
      </c>
      <c r="C62" s="18">
        <v>312</v>
      </c>
      <c r="D62" s="18">
        <v>301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90</v>
      </c>
      <c r="C64" s="20">
        <v>110</v>
      </c>
      <c r="D64" s="20">
        <v>99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388</v>
      </c>
      <c r="C66" s="25">
        <v>416</v>
      </c>
      <c r="D66" s="25">
        <v>406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172</v>
      </c>
      <c r="C68" s="18">
        <v>190</v>
      </c>
      <c r="D68" s="18">
        <v>183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138</v>
      </c>
      <c r="C70" s="19">
        <v>158</v>
      </c>
      <c r="D70" s="19">
        <v>155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64226</v>
      </c>
      <c r="C72" s="19">
        <v>73175</v>
      </c>
      <c r="D72" s="19">
        <v>69711</v>
      </c>
      <c r="E72" t="s">
        <v>204</v>
      </c>
    </row>
    <row r="73" spans="1:5" x14ac:dyDescent="0.25">
      <c r="A73" s="4" t="s">
        <v>82</v>
      </c>
      <c r="B73" s="4"/>
      <c r="C73" s="4"/>
      <c r="D73" s="4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187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189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207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EF04-C88C-4076-8AEF-4FA3365EE4C9}">
  <dimension ref="A1:E88"/>
  <sheetViews>
    <sheetView topLeftCell="A9" workbookViewId="0">
      <selection activeCell="A39" sqref="A39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5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5" x14ac:dyDescent="0.25">
      <c r="A2" s="18" t="s">
        <v>13</v>
      </c>
      <c r="B2" s="18">
        <v>4.8099999999999996</v>
      </c>
      <c r="C2" s="18">
        <v>4.62</v>
      </c>
      <c r="D2" s="18">
        <v>4.7699999999999996</v>
      </c>
    </row>
    <row r="3" spans="1:5" x14ac:dyDescent="0.25">
      <c r="A3" s="4" t="s">
        <v>14</v>
      </c>
      <c r="B3" s="4"/>
      <c r="C3" s="4"/>
      <c r="D3" s="4"/>
    </row>
    <row r="4" spans="1:5" x14ac:dyDescent="0.25">
      <c r="A4" s="18" t="s">
        <v>15</v>
      </c>
      <c r="B4" s="18">
        <v>4.2</v>
      </c>
      <c r="C4" s="18">
        <v>3.96</v>
      </c>
      <c r="D4" s="18">
        <v>4.13</v>
      </c>
    </row>
    <row r="5" spans="1:5" x14ac:dyDescent="0.25">
      <c r="A5" s="4" t="s">
        <v>16</v>
      </c>
      <c r="B5" s="4"/>
      <c r="C5" s="4"/>
      <c r="D5" s="4"/>
    </row>
    <row r="6" spans="1:5" x14ac:dyDescent="0.25">
      <c r="A6" s="18" t="s">
        <v>17</v>
      </c>
      <c r="B6" s="18">
        <v>3.62</v>
      </c>
      <c r="C6" s="18">
        <v>3.39</v>
      </c>
      <c r="D6" s="18">
        <v>3.56</v>
      </c>
    </row>
    <row r="7" spans="1:5" x14ac:dyDescent="0.25">
      <c r="A7" s="4" t="s">
        <v>18</v>
      </c>
      <c r="B7" s="4"/>
      <c r="C7" s="4"/>
      <c r="D7" s="4"/>
    </row>
    <row r="8" spans="1:5" x14ac:dyDescent="0.25">
      <c r="A8" s="18" t="s">
        <v>208</v>
      </c>
      <c r="B8" s="18">
        <v>79.510000000000005</v>
      </c>
      <c r="C8" s="18">
        <v>80.37</v>
      </c>
      <c r="D8" s="18">
        <v>79.69</v>
      </c>
    </row>
    <row r="9" spans="1:5" x14ac:dyDescent="0.25">
      <c r="A9" s="4" t="s">
        <v>20</v>
      </c>
      <c r="B9" s="4"/>
      <c r="C9" s="4"/>
      <c r="D9" s="4"/>
    </row>
    <row r="10" spans="1:5" x14ac:dyDescent="0.25">
      <c r="A10" s="20" t="s">
        <v>21</v>
      </c>
      <c r="B10" s="20">
        <v>109.7</v>
      </c>
      <c r="C10" s="20">
        <v>111.2</v>
      </c>
      <c r="D10" s="20">
        <v>110.2</v>
      </c>
    </row>
    <row r="11" spans="1:5" x14ac:dyDescent="0.25">
      <c r="A11" s="4" t="s">
        <v>22</v>
      </c>
      <c r="B11" s="4"/>
      <c r="C11" s="4"/>
      <c r="D11" s="4"/>
    </row>
    <row r="12" spans="1:5" x14ac:dyDescent="0.25">
      <c r="A12" s="18" t="s">
        <v>209</v>
      </c>
      <c r="B12" s="19">
        <v>6636</v>
      </c>
      <c r="C12" s="19">
        <v>6872</v>
      </c>
      <c r="D12" s="19">
        <v>6740</v>
      </c>
      <c r="E12" t="s">
        <v>203</v>
      </c>
    </row>
    <row r="13" spans="1:5" ht="15.75" thickBot="1" x14ac:dyDescent="0.3">
      <c r="A13" s="4" t="s">
        <v>24</v>
      </c>
      <c r="B13" s="4"/>
      <c r="C13" s="4"/>
      <c r="D13" s="4"/>
    </row>
    <row r="14" spans="1:5" ht="16.5" thickTop="1" thickBot="1" x14ac:dyDescent="0.3">
      <c r="A14" s="25" t="s">
        <v>25</v>
      </c>
      <c r="B14" s="29">
        <v>22030</v>
      </c>
      <c r="C14" s="29">
        <v>22881</v>
      </c>
      <c r="D14" s="29">
        <v>22387</v>
      </c>
    </row>
    <row r="15" spans="1:5" ht="15.75" thickTop="1" x14ac:dyDescent="0.25">
      <c r="A15" s="4" t="s">
        <v>26</v>
      </c>
      <c r="B15" s="4"/>
      <c r="C15" s="4"/>
      <c r="D15" s="4"/>
    </row>
    <row r="16" spans="1:5" x14ac:dyDescent="0.25">
      <c r="A16" s="18" t="s">
        <v>27</v>
      </c>
      <c r="B16" s="19">
        <v>2477</v>
      </c>
      <c r="C16" s="19">
        <v>2626</v>
      </c>
      <c r="D16" s="19">
        <v>2525</v>
      </c>
    </row>
    <row r="17" spans="1:4" x14ac:dyDescent="0.25">
      <c r="A17" s="4" t="s">
        <v>28</v>
      </c>
      <c r="B17" s="4"/>
      <c r="C17" s="4"/>
      <c r="D17" s="4"/>
    </row>
    <row r="18" spans="1:4" x14ac:dyDescent="0.25">
      <c r="A18" s="18" t="s">
        <v>29</v>
      </c>
      <c r="B18" s="18">
        <v>133</v>
      </c>
      <c r="C18" s="18">
        <v>141</v>
      </c>
      <c r="D18" s="18">
        <v>137</v>
      </c>
    </row>
    <row r="19" spans="1:4" x14ac:dyDescent="0.25">
      <c r="A19" s="4" t="s">
        <v>30</v>
      </c>
      <c r="B19" s="4"/>
      <c r="C19" s="4"/>
      <c r="D19" s="4"/>
    </row>
    <row r="20" spans="1:4" x14ac:dyDescent="0.25">
      <c r="A20" s="20" t="s">
        <v>118</v>
      </c>
      <c r="B20" s="20">
        <v>166</v>
      </c>
      <c r="C20" s="20">
        <v>178</v>
      </c>
      <c r="D20" s="20">
        <v>170</v>
      </c>
    </row>
    <row r="21" spans="1:4" x14ac:dyDescent="0.25">
      <c r="A21" s="4" t="s">
        <v>119</v>
      </c>
      <c r="B21" s="4"/>
      <c r="C21" s="4"/>
      <c r="D21" s="4"/>
    </row>
    <row r="22" spans="1:4" x14ac:dyDescent="0.25">
      <c r="A22" s="20" t="s">
        <v>193</v>
      </c>
      <c r="B22" s="21">
        <v>154</v>
      </c>
      <c r="C22" s="21">
        <v>169</v>
      </c>
      <c r="D22" s="21">
        <v>164.13</v>
      </c>
    </row>
    <row r="23" spans="1:4" ht="15.75" thickBot="1" x14ac:dyDescent="0.3">
      <c r="A23" s="4" t="s">
        <v>194</v>
      </c>
      <c r="B23" s="4"/>
      <c r="C23" s="4"/>
      <c r="D23" s="4"/>
    </row>
    <row r="24" spans="1:4" ht="16.5" thickTop="1" thickBot="1" x14ac:dyDescent="0.3">
      <c r="A24" s="23" t="s">
        <v>117</v>
      </c>
      <c r="B24" s="24">
        <v>4055</v>
      </c>
      <c r="C24" s="24">
        <v>4185</v>
      </c>
      <c r="D24" s="24">
        <v>4096</v>
      </c>
    </row>
    <row r="25" spans="1:4" ht="15.75" thickTop="1" x14ac:dyDescent="0.25">
      <c r="A25" s="4" t="s">
        <v>171</v>
      </c>
      <c r="B25" s="4"/>
      <c r="C25" s="4"/>
      <c r="D25" s="4"/>
    </row>
    <row r="26" spans="1:4" x14ac:dyDescent="0.25">
      <c r="A26" s="20" t="s">
        <v>87</v>
      </c>
      <c r="B26" s="21">
        <v>52405</v>
      </c>
      <c r="C26" s="21">
        <v>58901</v>
      </c>
      <c r="D26" s="21">
        <v>52728</v>
      </c>
    </row>
    <row r="27" spans="1:4" x14ac:dyDescent="0.25">
      <c r="A27" s="4" t="s">
        <v>36</v>
      </c>
      <c r="B27" s="4"/>
      <c r="C27" s="4"/>
      <c r="D27" s="4"/>
    </row>
    <row r="28" spans="1:4" x14ac:dyDescent="0.25">
      <c r="A28" s="18" t="s">
        <v>37</v>
      </c>
      <c r="B28" s="19">
        <v>22272</v>
      </c>
      <c r="C28" s="19">
        <v>24535</v>
      </c>
      <c r="D28" s="19">
        <v>23591</v>
      </c>
    </row>
    <row r="29" spans="1:4" x14ac:dyDescent="0.25">
      <c r="A29" s="4" t="s">
        <v>38</v>
      </c>
      <c r="B29" s="4"/>
      <c r="C29" s="4"/>
      <c r="D29" s="4"/>
    </row>
    <row r="30" spans="1:4" x14ac:dyDescent="0.25">
      <c r="A30" s="20" t="s">
        <v>39</v>
      </c>
      <c r="B30" s="20">
        <v>20.21</v>
      </c>
      <c r="C30" s="20">
        <v>32.57</v>
      </c>
      <c r="D30" s="20">
        <v>29.49</v>
      </c>
    </row>
    <row r="31" spans="1:4" ht="15.75" thickBot="1" x14ac:dyDescent="0.3">
      <c r="A31" s="4" t="s">
        <v>40</v>
      </c>
      <c r="B31" s="4"/>
      <c r="C31" s="4"/>
      <c r="D31" s="4"/>
    </row>
    <row r="32" spans="1:4" ht="16.5" thickTop="1" thickBot="1" x14ac:dyDescent="0.3">
      <c r="A32" s="23" t="s">
        <v>41</v>
      </c>
      <c r="B32" s="23">
        <v>98.01</v>
      </c>
      <c r="C32" s="23">
        <v>99.93</v>
      </c>
      <c r="D32" s="23">
        <v>99.23</v>
      </c>
    </row>
    <row r="33" spans="1:4" ht="16.5" thickTop="1" thickBot="1" x14ac:dyDescent="0.3">
      <c r="A33" s="4" t="s">
        <v>42</v>
      </c>
      <c r="B33" s="4"/>
      <c r="C33" s="4"/>
      <c r="D33" s="4"/>
    </row>
    <row r="34" spans="1:4" ht="16.5" thickTop="1" thickBot="1" x14ac:dyDescent="0.3">
      <c r="A34" s="25" t="s">
        <v>43</v>
      </c>
      <c r="B34" s="25">
        <v>1.147</v>
      </c>
      <c r="C34" s="25">
        <v>1.173</v>
      </c>
      <c r="D34" s="25">
        <v>1.1559999999999999</v>
      </c>
    </row>
    <row r="35" spans="1:4" ht="15.75" thickTop="1" x14ac:dyDescent="0.25">
      <c r="A35" s="4" t="s">
        <v>44</v>
      </c>
      <c r="B35" s="4"/>
      <c r="C35" s="4"/>
      <c r="D35" s="4"/>
    </row>
    <row r="36" spans="1:4" x14ac:dyDescent="0.25">
      <c r="A36" s="20" t="s">
        <v>45</v>
      </c>
      <c r="B36" s="20">
        <v>155.99</v>
      </c>
      <c r="C36" s="20">
        <v>158.97999999999999</v>
      </c>
      <c r="D36" s="20">
        <v>158.43</v>
      </c>
    </row>
    <row r="37" spans="1:4" x14ac:dyDescent="0.25">
      <c r="A37" s="4" t="s">
        <v>46</v>
      </c>
      <c r="B37" s="4"/>
      <c r="C37" s="4"/>
      <c r="D37" s="4"/>
    </row>
    <row r="38" spans="1:4" x14ac:dyDescent="0.25">
      <c r="A38" s="18" t="s">
        <v>47</v>
      </c>
      <c r="B38" s="18">
        <v>1.327</v>
      </c>
      <c r="C38" s="18">
        <v>1.3480000000000001</v>
      </c>
      <c r="D38" s="18">
        <v>1.335</v>
      </c>
    </row>
    <row r="39" spans="1:4" x14ac:dyDescent="0.25">
      <c r="A39" s="4" t="s">
        <v>48</v>
      </c>
      <c r="B39" s="4"/>
      <c r="C39" s="4"/>
      <c r="D39" s="4"/>
    </row>
    <row r="40" spans="1:4" x14ac:dyDescent="0.25">
      <c r="A40" s="20" t="s">
        <v>110</v>
      </c>
      <c r="B40" s="20">
        <v>0.72799999999999998</v>
      </c>
      <c r="C40" s="20">
        <v>0.74</v>
      </c>
      <c r="D40" s="20">
        <v>0.73899999999999999</v>
      </c>
    </row>
    <row r="41" spans="1:4" x14ac:dyDescent="0.25">
      <c r="A41" s="4" t="s">
        <v>50</v>
      </c>
      <c r="B41" s="4"/>
      <c r="C41" s="4"/>
      <c r="D41" s="4"/>
    </row>
    <row r="42" spans="1:4" x14ac:dyDescent="0.25">
      <c r="A42" s="20" t="s">
        <v>124</v>
      </c>
      <c r="B42" s="20">
        <v>74</v>
      </c>
      <c r="C42" s="20">
        <v>119</v>
      </c>
      <c r="D42" s="20">
        <v>91.27</v>
      </c>
    </row>
    <row r="43" spans="1:4" x14ac:dyDescent="0.25">
      <c r="A43" s="4" t="s">
        <v>52</v>
      </c>
      <c r="B43" s="4"/>
      <c r="C43" s="4"/>
      <c r="D43" s="4"/>
    </row>
    <row r="44" spans="1:4" x14ac:dyDescent="0.25">
      <c r="A44" s="20" t="s">
        <v>125</v>
      </c>
      <c r="B44" s="20">
        <v>79</v>
      </c>
      <c r="C44" s="20">
        <v>123</v>
      </c>
      <c r="D44" s="20">
        <v>92.87</v>
      </c>
    </row>
    <row r="45" spans="1:4" x14ac:dyDescent="0.25">
      <c r="A45" s="4" t="s">
        <v>54</v>
      </c>
      <c r="B45" s="4"/>
      <c r="C45" s="4"/>
      <c r="D45" s="4"/>
    </row>
    <row r="46" spans="1:4" x14ac:dyDescent="0.25">
      <c r="A46" s="26" t="s">
        <v>114</v>
      </c>
      <c r="B46" s="28">
        <v>2.82</v>
      </c>
      <c r="C46" s="28">
        <v>3.5</v>
      </c>
      <c r="D46" s="28">
        <v>3.18</v>
      </c>
    </row>
    <row r="47" spans="1:4" x14ac:dyDescent="0.25">
      <c r="A47" s="4" t="s">
        <v>56</v>
      </c>
      <c r="B47" s="4"/>
      <c r="C47" s="4"/>
      <c r="D47" s="4"/>
    </row>
    <row r="48" spans="1:4" x14ac:dyDescent="0.25">
      <c r="A48" s="20" t="s">
        <v>57</v>
      </c>
      <c r="B48" s="21">
        <v>5009</v>
      </c>
      <c r="C48" s="21">
        <v>5334</v>
      </c>
      <c r="D48" s="21">
        <v>5091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0">
        <v>5.66</v>
      </c>
      <c r="C50" s="20">
        <v>6.05</v>
      </c>
      <c r="D50" s="20">
        <v>5.79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79</v>
      </c>
      <c r="C52" s="23">
        <v>94</v>
      </c>
      <c r="D52" s="23">
        <v>84</v>
      </c>
      <c r="E52" t="s">
        <v>197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384</v>
      </c>
      <c r="C54" s="18">
        <v>415</v>
      </c>
      <c r="D54" s="18">
        <v>409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247</v>
      </c>
      <c r="C56" s="18">
        <v>266</v>
      </c>
      <c r="D56" s="18">
        <v>257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198</v>
      </c>
      <c r="C58" s="18">
        <v>221</v>
      </c>
      <c r="D58" s="18">
        <v>213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632</v>
      </c>
      <c r="C60" s="18">
        <v>667</v>
      </c>
      <c r="D60" s="18">
        <v>645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292</v>
      </c>
      <c r="C62" s="18">
        <v>311</v>
      </c>
      <c r="D62" s="18">
        <v>299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88</v>
      </c>
      <c r="C64" s="20">
        <v>107</v>
      </c>
      <c r="D64" s="20">
        <v>99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384</v>
      </c>
      <c r="C66" s="25">
        <v>413</v>
      </c>
      <c r="D66" s="25">
        <v>397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168</v>
      </c>
      <c r="C68" s="18">
        <v>186</v>
      </c>
      <c r="D68" s="18">
        <v>178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136</v>
      </c>
      <c r="C70" s="19">
        <v>158</v>
      </c>
      <c r="D70" s="19">
        <v>153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64005</v>
      </c>
      <c r="C72" s="19">
        <v>72701</v>
      </c>
      <c r="D72" s="19">
        <v>67619</v>
      </c>
      <c r="E72" t="s">
        <v>204</v>
      </c>
    </row>
    <row r="73" spans="1:5" x14ac:dyDescent="0.25">
      <c r="A73" s="4" t="s">
        <v>82</v>
      </c>
      <c r="B73" s="4"/>
      <c r="C73" s="4"/>
      <c r="D73" s="4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187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158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207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6E2B-D646-4F58-AD38-AAE0D964C91E}">
  <dimension ref="A1:I88"/>
  <sheetViews>
    <sheetView topLeftCell="A62" workbookViewId="0">
      <selection activeCell="E59" sqref="E59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9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9" x14ac:dyDescent="0.25">
      <c r="A2" s="18" t="s">
        <v>13</v>
      </c>
      <c r="B2" s="18">
        <v>4.79</v>
      </c>
      <c r="C2" s="18">
        <v>4.6100000000000003</v>
      </c>
      <c r="D2" s="18">
        <v>4.72</v>
      </c>
      <c r="G2" t="s">
        <v>216</v>
      </c>
    </row>
    <row r="3" spans="1:9" x14ac:dyDescent="0.25">
      <c r="A3" s="4" t="s">
        <v>14</v>
      </c>
      <c r="B3" s="4"/>
      <c r="C3" s="4"/>
      <c r="D3" s="4"/>
      <c r="G3">
        <v>23.77</v>
      </c>
      <c r="H3">
        <v>28.51</v>
      </c>
      <c r="I3">
        <v>26.1</v>
      </c>
    </row>
    <row r="4" spans="1:9" x14ac:dyDescent="0.25">
      <c r="A4" s="18" t="s">
        <v>15</v>
      </c>
      <c r="B4" s="18">
        <v>4.17</v>
      </c>
      <c r="C4" s="18">
        <v>3.95</v>
      </c>
      <c r="D4" s="18">
        <v>4.0999999999999996</v>
      </c>
      <c r="E4" t="s">
        <v>220</v>
      </c>
    </row>
    <row r="5" spans="1:9" x14ac:dyDescent="0.25">
      <c r="A5" s="4" t="s">
        <v>16</v>
      </c>
      <c r="B5" s="4"/>
      <c r="C5" s="4"/>
      <c r="D5" s="4"/>
      <c r="G5" t="s">
        <v>217</v>
      </c>
    </row>
    <row r="6" spans="1:9" x14ac:dyDescent="0.25">
      <c r="A6" s="18" t="s">
        <v>17</v>
      </c>
      <c r="B6" s="18">
        <v>3.6</v>
      </c>
      <c r="C6" s="18">
        <v>3.38</v>
      </c>
      <c r="D6" s="18">
        <v>3.55</v>
      </c>
      <c r="G6" s="33">
        <v>23.12</v>
      </c>
      <c r="H6" s="33">
        <v>23.44</v>
      </c>
      <c r="I6" s="33">
        <v>25.28</v>
      </c>
    </row>
    <row r="7" spans="1:9" x14ac:dyDescent="0.25">
      <c r="A7" s="4" t="s">
        <v>18</v>
      </c>
      <c r="B7" s="4"/>
      <c r="C7" s="4"/>
      <c r="D7" s="4"/>
      <c r="G7" t="s">
        <v>218</v>
      </c>
    </row>
    <row r="8" spans="1:9" x14ac:dyDescent="0.25">
      <c r="A8" s="18" t="s">
        <v>208</v>
      </c>
      <c r="B8" s="18">
        <v>79.59</v>
      </c>
      <c r="C8" s="18">
        <v>80.400000000000006</v>
      </c>
      <c r="D8" s="18">
        <v>80.17</v>
      </c>
      <c r="G8" s="33">
        <v>19.399999999999999</v>
      </c>
      <c r="H8" s="33">
        <v>22.42</v>
      </c>
      <c r="I8" s="33">
        <v>20.9</v>
      </c>
    </row>
    <row r="9" spans="1:9" x14ac:dyDescent="0.25">
      <c r="A9" s="4" t="s">
        <v>20</v>
      </c>
      <c r="B9" s="4"/>
      <c r="C9" s="4"/>
      <c r="D9" s="4"/>
      <c r="G9" t="s">
        <v>219</v>
      </c>
    </row>
    <row r="10" spans="1:9" x14ac:dyDescent="0.25">
      <c r="A10" s="20" t="s">
        <v>21</v>
      </c>
      <c r="B10" s="20">
        <v>109.9</v>
      </c>
      <c r="C10" s="20">
        <v>111.3</v>
      </c>
      <c r="D10" s="20">
        <v>110.8</v>
      </c>
      <c r="G10" s="34">
        <v>72.16</v>
      </c>
      <c r="H10" s="34">
        <v>84.36</v>
      </c>
      <c r="I10" s="34">
        <v>78.260000000000005</v>
      </c>
    </row>
    <row r="11" spans="1:9" x14ac:dyDescent="0.25">
      <c r="A11" s="4" t="s">
        <v>22</v>
      </c>
      <c r="B11" s="4"/>
      <c r="C11" s="4"/>
      <c r="D11" s="4"/>
    </row>
    <row r="12" spans="1:9" x14ac:dyDescent="0.25">
      <c r="A12" s="18" t="s">
        <v>209</v>
      </c>
      <c r="B12" s="19">
        <v>6722</v>
      </c>
      <c r="C12" s="19">
        <v>6869</v>
      </c>
      <c r="D12" s="19">
        <v>6795</v>
      </c>
      <c r="E12" t="s">
        <v>203</v>
      </c>
    </row>
    <row r="13" spans="1:9" ht="15.75" thickBot="1" x14ac:dyDescent="0.3">
      <c r="A13" s="4" t="s">
        <v>24</v>
      </c>
      <c r="B13" s="4"/>
      <c r="C13" s="4"/>
      <c r="D13" s="4"/>
    </row>
    <row r="14" spans="1:9" ht="16.5" thickTop="1" thickBot="1" x14ac:dyDescent="0.3">
      <c r="A14" s="25" t="s">
        <v>25</v>
      </c>
      <c r="B14" s="29">
        <v>22301</v>
      </c>
      <c r="C14" s="29">
        <v>22959</v>
      </c>
      <c r="D14" s="29">
        <v>22695</v>
      </c>
    </row>
    <row r="15" spans="1:9" ht="15.75" thickTop="1" x14ac:dyDescent="0.25">
      <c r="A15" s="4" t="s">
        <v>26</v>
      </c>
      <c r="B15" s="4"/>
      <c r="C15" s="4"/>
      <c r="D15" s="4"/>
    </row>
    <row r="16" spans="1:9" x14ac:dyDescent="0.25">
      <c r="A16" s="18" t="s">
        <v>27</v>
      </c>
      <c r="B16" s="19">
        <v>2491</v>
      </c>
      <c r="C16" s="19">
        <v>2624</v>
      </c>
      <c r="D16" s="19">
        <v>2553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135</v>
      </c>
      <c r="C18" s="18">
        <v>142</v>
      </c>
      <c r="D18" s="18">
        <v>140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118</v>
      </c>
      <c r="B20" s="20">
        <v>168</v>
      </c>
      <c r="C20" s="20">
        <v>179</v>
      </c>
      <c r="D20" s="20">
        <v>171</v>
      </c>
    </row>
    <row r="21" spans="1:7" x14ac:dyDescent="0.25">
      <c r="A21" s="4" t="s">
        <v>119</v>
      </c>
      <c r="B21" s="4"/>
      <c r="C21" s="4"/>
      <c r="D21" s="4"/>
    </row>
    <row r="22" spans="1:7" x14ac:dyDescent="0.25">
      <c r="A22" s="20" t="s">
        <v>193</v>
      </c>
      <c r="B22" s="21">
        <v>152</v>
      </c>
      <c r="C22" s="21">
        <v>167</v>
      </c>
      <c r="D22" s="21">
        <v>161.82</v>
      </c>
    </row>
    <row r="23" spans="1:7" ht="15.75" thickBot="1" x14ac:dyDescent="0.3">
      <c r="A23" s="4" t="s">
        <v>194</v>
      </c>
      <c r="B23" s="4"/>
      <c r="C23" s="4"/>
      <c r="D23" s="4"/>
    </row>
    <row r="24" spans="1:7" ht="16.5" thickTop="1" thickBot="1" x14ac:dyDescent="0.3">
      <c r="A24" s="23" t="s">
        <v>210</v>
      </c>
      <c r="B24" s="24">
        <v>45.94</v>
      </c>
      <c r="C24" s="24">
        <v>47.95</v>
      </c>
      <c r="D24" s="24">
        <v>46.85</v>
      </c>
    </row>
    <row r="25" spans="1:7" ht="15.75" thickTop="1" x14ac:dyDescent="0.25">
      <c r="A25" s="4" t="s">
        <v>211</v>
      </c>
      <c r="B25" s="4"/>
      <c r="C25" s="4"/>
      <c r="D25" s="4"/>
    </row>
    <row r="26" spans="1:7" x14ac:dyDescent="0.25">
      <c r="A26" s="20" t="s">
        <v>117</v>
      </c>
      <c r="B26" s="21">
        <v>4071</v>
      </c>
      <c r="C26" s="21">
        <v>4192</v>
      </c>
      <c r="D26" s="21">
        <v>4123</v>
      </c>
    </row>
    <row r="27" spans="1:7" x14ac:dyDescent="0.25">
      <c r="A27" s="4" t="s">
        <v>171</v>
      </c>
      <c r="B27" s="4"/>
      <c r="C27" s="4"/>
      <c r="D27" s="4"/>
    </row>
    <row r="28" spans="1:7" x14ac:dyDescent="0.25">
      <c r="A28" s="26" t="s">
        <v>35</v>
      </c>
      <c r="B28" s="28">
        <v>52336</v>
      </c>
      <c r="C28" s="28">
        <v>56498</v>
      </c>
      <c r="D28" s="28">
        <v>54248</v>
      </c>
    </row>
    <row r="29" spans="1:7" x14ac:dyDescent="0.25">
      <c r="A29" s="4" t="s">
        <v>36</v>
      </c>
      <c r="B29" s="4"/>
      <c r="C29" s="4"/>
      <c r="D29" s="4"/>
    </row>
    <row r="30" spans="1:7" x14ac:dyDescent="0.25">
      <c r="A30" s="18" t="s">
        <v>37</v>
      </c>
      <c r="B30" s="19">
        <v>22965</v>
      </c>
      <c r="C30" s="19">
        <v>24494</v>
      </c>
      <c r="D30" s="19">
        <v>23409</v>
      </c>
    </row>
    <row r="31" spans="1:7" ht="15.75" thickBot="1" x14ac:dyDescent="0.3">
      <c r="A31" s="4" t="s">
        <v>38</v>
      </c>
      <c r="B31" s="4"/>
      <c r="C31" s="4"/>
      <c r="D31" s="4"/>
    </row>
    <row r="32" spans="1:7" ht="16.5" thickTop="1" thickBot="1" x14ac:dyDescent="0.3">
      <c r="A32" s="23" t="s">
        <v>39</v>
      </c>
      <c r="B32" s="23">
        <v>20.54</v>
      </c>
      <c r="C32" s="23">
        <v>29.98</v>
      </c>
      <c r="D32" s="23">
        <v>25.5</v>
      </c>
      <c r="G32" t="s">
        <v>213</v>
      </c>
    </row>
    <row r="33" spans="1:5" ht="16.5" thickTop="1" thickBot="1" x14ac:dyDescent="0.3">
      <c r="A33" s="4" t="s">
        <v>40</v>
      </c>
      <c r="B33" s="4"/>
      <c r="C33" s="4"/>
      <c r="D33" s="4"/>
    </row>
    <row r="34" spans="1:5" ht="16.5" thickTop="1" thickBot="1" x14ac:dyDescent="0.3">
      <c r="A34" s="23" t="s">
        <v>41</v>
      </c>
      <c r="B34" s="23">
        <v>98.01</v>
      </c>
      <c r="C34" s="23">
        <v>99.33</v>
      </c>
      <c r="D34" s="23">
        <v>98.66</v>
      </c>
    </row>
    <row r="35" spans="1:5" ht="15.75" thickTop="1" x14ac:dyDescent="0.25">
      <c r="A35" s="4" t="s">
        <v>42</v>
      </c>
      <c r="B35" s="4"/>
      <c r="C35" s="4"/>
      <c r="D35" s="4"/>
    </row>
    <row r="36" spans="1:5" x14ac:dyDescent="0.25">
      <c r="A36" s="18" t="s">
        <v>43</v>
      </c>
      <c r="B36" s="18">
        <v>1.1499999999999999</v>
      </c>
      <c r="C36" s="18">
        <v>1.175</v>
      </c>
      <c r="D36" s="18">
        <v>1.165</v>
      </c>
    </row>
    <row r="37" spans="1:5" x14ac:dyDescent="0.25">
      <c r="A37" s="4" t="s">
        <v>44</v>
      </c>
      <c r="B37" s="4"/>
      <c r="C37" s="4"/>
      <c r="D37" s="4"/>
    </row>
    <row r="38" spans="1:5" x14ac:dyDescent="0.25">
      <c r="A38" s="20" t="s">
        <v>45</v>
      </c>
      <c r="B38" s="20">
        <v>155.97999999999999</v>
      </c>
      <c r="C38" s="20">
        <v>158.77000000000001</v>
      </c>
      <c r="D38" s="20">
        <v>157.79</v>
      </c>
    </row>
    <row r="39" spans="1:5" x14ac:dyDescent="0.25">
      <c r="A39" s="4" t="s">
        <v>46</v>
      </c>
      <c r="B39" s="4"/>
      <c r="C39" s="4"/>
      <c r="D39" s="4"/>
    </row>
    <row r="40" spans="1:5" x14ac:dyDescent="0.25">
      <c r="A40" s="18" t="s">
        <v>47</v>
      </c>
      <c r="B40" s="18">
        <v>1.33</v>
      </c>
      <c r="C40" s="18">
        <v>1.3480000000000001</v>
      </c>
      <c r="D40" s="18">
        <v>1.345</v>
      </c>
    </row>
    <row r="41" spans="1:5" x14ac:dyDescent="0.25">
      <c r="A41" s="4" t="s">
        <v>48</v>
      </c>
      <c r="B41" s="4"/>
      <c r="C41" s="4"/>
      <c r="D41" s="4"/>
    </row>
    <row r="42" spans="1:5" x14ac:dyDescent="0.25">
      <c r="A42" s="20" t="s">
        <v>110</v>
      </c>
      <c r="B42" s="20">
        <v>0.72899999999999998</v>
      </c>
      <c r="C42" s="20">
        <v>0.74</v>
      </c>
      <c r="D42" s="20">
        <v>0.73699999999999999</v>
      </c>
    </row>
    <row r="43" spans="1:5" x14ac:dyDescent="0.25">
      <c r="A43" s="4" t="s">
        <v>50</v>
      </c>
      <c r="B43" s="4"/>
      <c r="C43" s="4"/>
      <c r="D43" s="4"/>
    </row>
    <row r="44" spans="1:5" x14ac:dyDescent="0.25">
      <c r="A44" s="20" t="s">
        <v>124</v>
      </c>
      <c r="B44" s="20">
        <v>75.11</v>
      </c>
      <c r="C44" s="20">
        <v>92.39</v>
      </c>
      <c r="D44" s="20">
        <v>85.08</v>
      </c>
      <c r="E44" t="s">
        <v>212</v>
      </c>
    </row>
    <row r="45" spans="1:5" x14ac:dyDescent="0.25">
      <c r="A45" s="4" t="s">
        <v>52</v>
      </c>
      <c r="B45" s="4"/>
      <c r="C45" s="4"/>
      <c r="D45" s="4"/>
    </row>
    <row r="46" spans="1:5" x14ac:dyDescent="0.25">
      <c r="A46" s="20" t="s">
        <v>125</v>
      </c>
      <c r="B46" s="21">
        <v>80.03</v>
      </c>
      <c r="C46" s="21">
        <v>95.9</v>
      </c>
      <c r="D46" s="21">
        <v>88.69</v>
      </c>
    </row>
    <row r="47" spans="1:5" x14ac:dyDescent="0.25">
      <c r="A47" s="4" t="s">
        <v>54</v>
      </c>
      <c r="B47" s="4"/>
      <c r="C47" s="4"/>
      <c r="D47" s="4"/>
    </row>
    <row r="48" spans="1:5" x14ac:dyDescent="0.25">
      <c r="A48" s="18" t="s">
        <v>116</v>
      </c>
      <c r="B48" s="19">
        <v>2.73</v>
      </c>
      <c r="C48" s="19">
        <v>3.22</v>
      </c>
      <c r="D48" s="19">
        <v>3.06</v>
      </c>
    </row>
    <row r="49" spans="1:5" x14ac:dyDescent="0.25">
      <c r="A49" s="4" t="s">
        <v>56</v>
      </c>
      <c r="B49" s="4"/>
      <c r="C49" s="4"/>
      <c r="D49" s="4"/>
    </row>
    <row r="50" spans="1:5" x14ac:dyDescent="0.25">
      <c r="A50" s="20" t="s">
        <v>57</v>
      </c>
      <c r="B50" s="21">
        <v>5009</v>
      </c>
      <c r="C50" s="21">
        <v>5334</v>
      </c>
      <c r="D50" s="21">
        <v>5176</v>
      </c>
      <c r="E50" t="s">
        <v>215</v>
      </c>
    </row>
    <row r="51" spans="1:5" ht="15.75" thickBot="1" x14ac:dyDescent="0.3">
      <c r="A51" s="4" t="s">
        <v>58</v>
      </c>
      <c r="B51" s="4"/>
      <c r="C51" s="4"/>
      <c r="D51" s="4"/>
    </row>
    <row r="52" spans="1:5" ht="16.5" thickTop="1" thickBot="1" x14ac:dyDescent="0.3">
      <c r="A52" s="23" t="s">
        <v>59</v>
      </c>
      <c r="B52" s="23">
        <v>5.7</v>
      </c>
      <c r="C52" s="23">
        <v>6.07</v>
      </c>
      <c r="D52" s="23">
        <v>5.85</v>
      </c>
    </row>
    <row r="53" spans="1:5" ht="15.75" thickTop="1" x14ac:dyDescent="0.25">
      <c r="A53" s="4" t="s">
        <v>185</v>
      </c>
      <c r="B53" s="4"/>
      <c r="C53" s="4"/>
      <c r="D53" s="4"/>
    </row>
    <row r="54" spans="1:5" x14ac:dyDescent="0.25">
      <c r="A54" s="20" t="s">
        <v>61</v>
      </c>
      <c r="B54" s="20">
        <v>81</v>
      </c>
      <c r="C54" s="20">
        <v>95</v>
      </c>
      <c r="D54" s="20">
        <v>87</v>
      </c>
      <c r="E54" t="s">
        <v>214</v>
      </c>
    </row>
    <row r="55" spans="1:5" x14ac:dyDescent="0.25">
      <c r="A55" s="4" t="s">
        <v>62</v>
      </c>
      <c r="B55" s="4"/>
      <c r="C55" s="4"/>
      <c r="D55" s="4"/>
    </row>
    <row r="56" spans="1:5" x14ac:dyDescent="0.25">
      <c r="A56" s="18" t="s">
        <v>63</v>
      </c>
      <c r="B56" s="18">
        <v>392</v>
      </c>
      <c r="C56" s="18">
        <v>416</v>
      </c>
      <c r="D56" s="18">
        <v>409</v>
      </c>
    </row>
    <row r="57" spans="1:5" x14ac:dyDescent="0.25">
      <c r="A57" s="4" t="s">
        <v>64</v>
      </c>
      <c r="B57" s="4"/>
      <c r="C57" s="4"/>
      <c r="D57" s="4"/>
    </row>
    <row r="58" spans="1:5" x14ac:dyDescent="0.25">
      <c r="A58" s="18" t="s">
        <v>121</v>
      </c>
      <c r="B58" s="18">
        <v>251</v>
      </c>
      <c r="C58" s="18">
        <v>266</v>
      </c>
      <c r="D58" s="18">
        <v>260</v>
      </c>
    </row>
    <row r="59" spans="1:5" x14ac:dyDescent="0.25">
      <c r="A59" s="4" t="s">
        <v>66</v>
      </c>
      <c r="B59" s="4"/>
      <c r="C59" s="4"/>
      <c r="D59" s="4"/>
    </row>
    <row r="60" spans="1:5" x14ac:dyDescent="0.25">
      <c r="A60" s="18" t="s">
        <v>67</v>
      </c>
      <c r="B60" s="18">
        <v>201</v>
      </c>
      <c r="C60" s="18">
        <v>220</v>
      </c>
      <c r="D60" s="18">
        <v>213</v>
      </c>
    </row>
    <row r="61" spans="1:5" x14ac:dyDescent="0.25">
      <c r="A61" t="s">
        <v>68</v>
      </c>
    </row>
    <row r="62" spans="1:5" x14ac:dyDescent="0.25">
      <c r="A62" s="18" t="s">
        <v>69</v>
      </c>
      <c r="B62" s="18">
        <v>637</v>
      </c>
      <c r="C62" s="18">
        <v>667</v>
      </c>
      <c r="D62" s="18">
        <v>647</v>
      </c>
    </row>
    <row r="63" spans="1:5" x14ac:dyDescent="0.25">
      <c r="A63" s="4" t="s">
        <v>70</v>
      </c>
      <c r="B63" s="4"/>
      <c r="C63" s="4"/>
      <c r="D63" s="4"/>
    </row>
    <row r="64" spans="1:5" x14ac:dyDescent="0.25">
      <c r="A64" s="18" t="s">
        <v>192</v>
      </c>
      <c r="B64" s="18">
        <v>295</v>
      </c>
      <c r="C64" s="18">
        <v>312</v>
      </c>
      <c r="D64" s="18">
        <v>306</v>
      </c>
      <c r="E64" t="s">
        <v>198</v>
      </c>
    </row>
    <row r="65" spans="1:5" ht="15.75" thickBot="1" x14ac:dyDescent="0.3">
      <c r="A65" s="4" t="s">
        <v>72</v>
      </c>
      <c r="B65" s="4"/>
      <c r="C65" s="4"/>
      <c r="D65" s="4"/>
    </row>
    <row r="66" spans="1:5" ht="16.5" thickTop="1" thickBot="1" x14ac:dyDescent="0.3">
      <c r="A66" s="23" t="s">
        <v>201</v>
      </c>
      <c r="B66" s="23">
        <v>92</v>
      </c>
      <c r="C66" s="23">
        <v>105</v>
      </c>
      <c r="D66" s="23">
        <v>98</v>
      </c>
    </row>
    <row r="67" spans="1:5" ht="15.75" thickTop="1" x14ac:dyDescent="0.25">
      <c r="A67" s="4" t="s">
        <v>74</v>
      </c>
      <c r="B67" s="4"/>
      <c r="C67" s="4"/>
      <c r="D67" s="4"/>
    </row>
    <row r="68" spans="1:5" x14ac:dyDescent="0.25">
      <c r="A68" s="18" t="s">
        <v>75</v>
      </c>
      <c r="B68" s="18">
        <v>386</v>
      </c>
      <c r="C68" s="18">
        <v>412</v>
      </c>
      <c r="D68" s="18">
        <v>399</v>
      </c>
    </row>
    <row r="69" spans="1:5" x14ac:dyDescent="0.25">
      <c r="A69" s="4" t="s">
        <v>76</v>
      </c>
      <c r="B69" s="4"/>
      <c r="C69" s="4"/>
      <c r="D69" s="4"/>
    </row>
    <row r="70" spans="1:5" x14ac:dyDescent="0.25">
      <c r="A70" s="18" t="s">
        <v>88</v>
      </c>
      <c r="B70" s="19">
        <v>171</v>
      </c>
      <c r="C70" s="19">
        <v>187</v>
      </c>
      <c r="D70" s="19">
        <v>183</v>
      </c>
    </row>
    <row r="71" spans="1:5" x14ac:dyDescent="0.25">
      <c r="A71" s="4" t="s">
        <v>78</v>
      </c>
      <c r="B71" s="4"/>
      <c r="C71" s="4"/>
      <c r="D71" s="4"/>
    </row>
    <row r="72" spans="1:5" x14ac:dyDescent="0.25">
      <c r="A72" s="18" t="s">
        <v>79</v>
      </c>
      <c r="B72" s="19">
        <v>136</v>
      </c>
      <c r="C72" s="19">
        <v>159</v>
      </c>
      <c r="D72" s="19">
        <v>152</v>
      </c>
      <c r="E72" t="s">
        <v>204</v>
      </c>
    </row>
    <row r="73" spans="1:5" x14ac:dyDescent="0.25">
      <c r="A73" s="4" t="s">
        <v>80</v>
      </c>
      <c r="B73" s="4"/>
      <c r="C73" s="4"/>
      <c r="D73" s="4"/>
    </row>
    <row r="74" spans="1:5" x14ac:dyDescent="0.25">
      <c r="A74" t="s">
        <v>81</v>
      </c>
      <c r="B74" s="1">
        <v>65002</v>
      </c>
      <c r="C74" s="1">
        <v>73129</v>
      </c>
      <c r="D74" s="1">
        <v>70668</v>
      </c>
    </row>
    <row r="75" spans="1:5" x14ac:dyDescent="0.25">
      <c r="A75" t="s">
        <v>82</v>
      </c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187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157</v>
      </c>
    </row>
    <row r="83" spans="1:1" ht="45" x14ac:dyDescent="0.25">
      <c r="A83" s="31" t="s">
        <v>158</v>
      </c>
    </row>
    <row r="84" spans="1:1" ht="45" x14ac:dyDescent="0.25">
      <c r="A84" s="31" t="s">
        <v>159</v>
      </c>
    </row>
    <row r="85" spans="1:1" ht="45" x14ac:dyDescent="0.25">
      <c r="A85" s="31" t="s">
        <v>190</v>
      </c>
    </row>
    <row r="86" spans="1:1" ht="30" x14ac:dyDescent="0.25">
      <c r="A86" s="31" t="s">
        <v>161</v>
      </c>
    </row>
    <row r="87" spans="1:1" ht="30" x14ac:dyDescent="0.25">
      <c r="A87" s="31" t="s">
        <v>207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399B-1FFB-49E2-A061-F243480D0209}">
  <dimension ref="A1:I88"/>
  <sheetViews>
    <sheetView topLeftCell="A47" workbookViewId="0">
      <selection sqref="A1:I104857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9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9" x14ac:dyDescent="0.25">
      <c r="A2" s="18" t="s">
        <v>13</v>
      </c>
      <c r="B2" s="18">
        <v>4.83</v>
      </c>
      <c r="C2" s="18">
        <v>4.62</v>
      </c>
      <c r="D2" s="18">
        <v>4.8</v>
      </c>
      <c r="G2" t="s">
        <v>216</v>
      </c>
    </row>
    <row r="3" spans="1:9" x14ac:dyDescent="0.25">
      <c r="A3" s="4" t="s">
        <v>14</v>
      </c>
      <c r="B3" s="4"/>
      <c r="C3" s="4"/>
      <c r="D3" s="4"/>
      <c r="G3">
        <v>23.77</v>
      </c>
      <c r="H3">
        <v>28.51</v>
      </c>
      <c r="I3">
        <v>26.1</v>
      </c>
    </row>
    <row r="4" spans="1:9" x14ac:dyDescent="0.25">
      <c r="A4" s="18" t="s">
        <v>15</v>
      </c>
      <c r="B4" s="18">
        <v>4.22</v>
      </c>
      <c r="C4" s="18">
        <v>3.96</v>
      </c>
      <c r="D4" s="18">
        <v>4.16</v>
      </c>
      <c r="E4" t="s">
        <v>220</v>
      </c>
    </row>
    <row r="5" spans="1:9" x14ac:dyDescent="0.25">
      <c r="A5" s="4" t="s">
        <v>16</v>
      </c>
      <c r="B5" s="4"/>
      <c r="C5" s="4"/>
      <c r="D5" s="4"/>
      <c r="G5" t="s">
        <v>217</v>
      </c>
    </row>
    <row r="6" spans="1:9" x14ac:dyDescent="0.25">
      <c r="A6" s="18" t="s">
        <v>17</v>
      </c>
      <c r="B6" s="18">
        <v>3.62</v>
      </c>
      <c r="C6" s="18">
        <v>3.39</v>
      </c>
      <c r="D6" s="18">
        <v>3.61</v>
      </c>
      <c r="G6" s="33">
        <v>23.12</v>
      </c>
      <c r="H6" s="33">
        <v>23.44</v>
      </c>
      <c r="I6" s="33">
        <v>25.28</v>
      </c>
    </row>
    <row r="7" spans="1:9" x14ac:dyDescent="0.25">
      <c r="A7" s="4" t="s">
        <v>18</v>
      </c>
      <c r="B7" s="4"/>
      <c r="C7" s="4"/>
      <c r="D7" s="4"/>
      <c r="G7" t="s">
        <v>218</v>
      </c>
    </row>
    <row r="8" spans="1:9" x14ac:dyDescent="0.25">
      <c r="A8" s="18" t="s">
        <v>208</v>
      </c>
      <c r="B8" s="18">
        <v>79.650000000000006</v>
      </c>
      <c r="C8" s="18">
        <v>80.38</v>
      </c>
      <c r="D8" s="18">
        <v>80.040000000000006</v>
      </c>
      <c r="G8" s="33">
        <v>19.399999999999999</v>
      </c>
      <c r="H8" s="33">
        <v>22.42</v>
      </c>
      <c r="I8" s="33">
        <v>20.9</v>
      </c>
    </row>
    <row r="9" spans="1:9" x14ac:dyDescent="0.25">
      <c r="A9" s="4" t="s">
        <v>20</v>
      </c>
      <c r="B9" s="4"/>
      <c r="C9" s="4"/>
      <c r="D9" s="4"/>
      <c r="G9" t="s">
        <v>219</v>
      </c>
    </row>
    <row r="10" spans="1:9" x14ac:dyDescent="0.25">
      <c r="A10" s="20" t="s">
        <v>21</v>
      </c>
      <c r="B10" s="20">
        <v>109.7</v>
      </c>
      <c r="C10" s="20">
        <v>111.3</v>
      </c>
      <c r="D10" s="20">
        <v>110.1</v>
      </c>
      <c r="G10" s="34">
        <v>72.16</v>
      </c>
      <c r="H10" s="34">
        <v>84.36</v>
      </c>
      <c r="I10" s="34">
        <v>78.260000000000005</v>
      </c>
    </row>
    <row r="11" spans="1:9" x14ac:dyDescent="0.25">
      <c r="A11" s="4" t="s">
        <v>22</v>
      </c>
      <c r="B11" s="4"/>
      <c r="C11" s="4"/>
      <c r="D11" s="4"/>
    </row>
    <row r="12" spans="1:9" x14ac:dyDescent="0.25">
      <c r="A12" s="18" t="s">
        <v>209</v>
      </c>
      <c r="B12" s="19">
        <v>6709</v>
      </c>
      <c r="C12" s="19">
        <v>6871</v>
      </c>
      <c r="D12" s="19">
        <v>6781</v>
      </c>
      <c r="E12" t="s">
        <v>203</v>
      </c>
    </row>
    <row r="13" spans="1:9" ht="15.75" thickBot="1" x14ac:dyDescent="0.3">
      <c r="A13" s="4" t="s">
        <v>24</v>
      </c>
      <c r="B13" s="4"/>
      <c r="C13" s="4"/>
      <c r="D13" s="4"/>
    </row>
    <row r="14" spans="1:9" ht="16.5" thickTop="1" thickBot="1" x14ac:dyDescent="0.3">
      <c r="A14" s="25" t="s">
        <v>25</v>
      </c>
      <c r="B14" s="29">
        <v>22362</v>
      </c>
      <c r="C14" s="29">
        <v>22944</v>
      </c>
      <c r="D14" s="29">
        <v>22697</v>
      </c>
    </row>
    <row r="15" spans="1:9" ht="15.75" thickTop="1" x14ac:dyDescent="0.25">
      <c r="A15" s="4" t="s">
        <v>26</v>
      </c>
      <c r="B15" s="4"/>
      <c r="C15" s="4"/>
      <c r="D15" s="4"/>
    </row>
    <row r="16" spans="1:9" x14ac:dyDescent="0.25">
      <c r="A16" s="18" t="s">
        <v>27</v>
      </c>
      <c r="B16" s="19">
        <v>2489</v>
      </c>
      <c r="C16" s="19">
        <v>2614</v>
      </c>
      <c r="D16" s="19">
        <v>2548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135</v>
      </c>
      <c r="C18" s="18">
        <v>142</v>
      </c>
      <c r="D18" s="18">
        <v>140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6" t="s">
        <v>221</v>
      </c>
      <c r="B20" s="26">
        <v>164</v>
      </c>
      <c r="C20" s="26">
        <v>174</v>
      </c>
      <c r="D20" s="26">
        <v>170</v>
      </c>
    </row>
    <row r="21" spans="1:7" x14ac:dyDescent="0.25">
      <c r="A21" s="4" t="s">
        <v>119</v>
      </c>
      <c r="B21" s="4"/>
      <c r="C21" s="4"/>
      <c r="D21" s="4"/>
    </row>
    <row r="22" spans="1:7" x14ac:dyDescent="0.25">
      <c r="A22" s="20" t="s">
        <v>193</v>
      </c>
      <c r="B22" s="21">
        <v>152</v>
      </c>
      <c r="C22" s="21">
        <v>168</v>
      </c>
      <c r="D22" s="21">
        <v>159</v>
      </c>
    </row>
    <row r="23" spans="1:7" ht="15.75" thickBot="1" x14ac:dyDescent="0.3">
      <c r="A23" s="4" t="s">
        <v>194</v>
      </c>
      <c r="B23" s="4"/>
      <c r="C23" s="4"/>
      <c r="D23" s="4"/>
    </row>
    <row r="24" spans="1:7" ht="16.5" thickTop="1" thickBot="1" x14ac:dyDescent="0.3">
      <c r="A24" s="23" t="s">
        <v>210</v>
      </c>
      <c r="B24" s="24">
        <v>46.04</v>
      </c>
      <c r="C24" s="24">
        <v>47.75</v>
      </c>
      <c r="D24" s="24">
        <v>46.56</v>
      </c>
    </row>
    <row r="25" spans="1:7" ht="15.75" thickTop="1" x14ac:dyDescent="0.25">
      <c r="A25" s="4" t="s">
        <v>211</v>
      </c>
      <c r="B25" s="4"/>
      <c r="C25" s="4"/>
      <c r="D25" s="4"/>
    </row>
    <row r="26" spans="1:7" x14ac:dyDescent="0.25">
      <c r="A26" s="20" t="s">
        <v>117</v>
      </c>
      <c r="B26" s="21">
        <v>4077</v>
      </c>
      <c r="C26" s="21">
        <v>4194</v>
      </c>
      <c r="D26" s="21">
        <v>4133</v>
      </c>
    </row>
    <row r="27" spans="1:7" x14ac:dyDescent="0.25">
      <c r="A27" s="4" t="s">
        <v>171</v>
      </c>
      <c r="B27" s="4"/>
      <c r="C27" s="4"/>
      <c r="D27" s="4"/>
    </row>
    <row r="28" spans="1:7" x14ac:dyDescent="0.25">
      <c r="A28" s="26" t="s">
        <v>35</v>
      </c>
      <c r="B28" s="28">
        <v>51902</v>
      </c>
      <c r="C28" s="28">
        <v>56116</v>
      </c>
      <c r="D28" s="28">
        <v>55025</v>
      </c>
    </row>
    <row r="29" spans="1:7" x14ac:dyDescent="0.25">
      <c r="A29" s="4" t="s">
        <v>36</v>
      </c>
      <c r="B29" s="4"/>
      <c r="C29" s="4"/>
      <c r="D29" s="4"/>
    </row>
    <row r="30" spans="1:7" x14ac:dyDescent="0.25">
      <c r="A30" s="18" t="s">
        <v>37</v>
      </c>
      <c r="B30" s="19">
        <v>22892</v>
      </c>
      <c r="C30" s="19">
        <v>24481</v>
      </c>
      <c r="D30" s="19">
        <v>23968</v>
      </c>
    </row>
    <row r="31" spans="1:7" ht="15.75" thickBot="1" x14ac:dyDescent="0.3">
      <c r="A31" s="4" t="s">
        <v>38</v>
      </c>
      <c r="B31" s="4"/>
      <c r="C31" s="4"/>
      <c r="D31" s="4"/>
    </row>
    <row r="32" spans="1:7" ht="16.5" thickTop="1" thickBot="1" x14ac:dyDescent="0.3">
      <c r="A32" s="23" t="s">
        <v>39</v>
      </c>
      <c r="B32" s="23">
        <v>20.74</v>
      </c>
      <c r="C32" s="23">
        <v>29.48</v>
      </c>
      <c r="D32" s="23">
        <v>24.93</v>
      </c>
      <c r="G32" t="s">
        <v>213</v>
      </c>
    </row>
    <row r="33" spans="1:5" ht="16.5" thickTop="1" thickBot="1" x14ac:dyDescent="0.3">
      <c r="A33" s="4" t="s">
        <v>40</v>
      </c>
      <c r="B33" s="4"/>
      <c r="C33" s="4"/>
      <c r="D33" s="4"/>
    </row>
    <row r="34" spans="1:5" ht="16.5" thickTop="1" thickBot="1" x14ac:dyDescent="0.3">
      <c r="A34" s="23" t="s">
        <v>41</v>
      </c>
      <c r="B34" s="23">
        <v>98.22</v>
      </c>
      <c r="C34" s="23">
        <v>99.84</v>
      </c>
      <c r="D34" s="23">
        <v>98.97</v>
      </c>
    </row>
    <row r="35" spans="1:5" ht="15.75" thickTop="1" x14ac:dyDescent="0.25">
      <c r="A35" s="4" t="s">
        <v>42</v>
      </c>
      <c r="B35" s="4"/>
      <c r="C35" s="4"/>
      <c r="D35" s="4"/>
    </row>
    <row r="36" spans="1:5" x14ac:dyDescent="0.25">
      <c r="A36" s="18" t="s">
        <v>43</v>
      </c>
      <c r="B36" s="18">
        <v>1.149</v>
      </c>
      <c r="C36" s="18">
        <v>1.1739999999999999</v>
      </c>
      <c r="D36" s="18">
        <v>1.1599999999999999</v>
      </c>
    </row>
    <row r="37" spans="1:5" x14ac:dyDescent="0.25">
      <c r="A37" s="4" t="s">
        <v>44</v>
      </c>
      <c r="B37" s="4"/>
      <c r="C37" s="4"/>
      <c r="D37" s="4"/>
    </row>
    <row r="38" spans="1:5" x14ac:dyDescent="0.25">
      <c r="A38" s="20" t="s">
        <v>45</v>
      </c>
      <c r="B38" s="20">
        <v>155.9</v>
      </c>
      <c r="C38" s="20">
        <v>158.79</v>
      </c>
      <c r="D38" s="20">
        <v>158.46</v>
      </c>
    </row>
    <row r="39" spans="1:5" x14ac:dyDescent="0.25">
      <c r="A39" s="4" t="s">
        <v>46</v>
      </c>
      <c r="B39" s="4"/>
      <c r="C39" s="4"/>
      <c r="D39" s="4"/>
    </row>
    <row r="40" spans="1:5" x14ac:dyDescent="0.25">
      <c r="A40" s="18" t="s">
        <v>47</v>
      </c>
      <c r="B40" s="18">
        <v>1.329</v>
      </c>
      <c r="C40" s="18">
        <v>1.347</v>
      </c>
      <c r="D40" s="18">
        <v>1.343</v>
      </c>
    </row>
    <row r="41" spans="1:5" x14ac:dyDescent="0.25">
      <c r="A41" s="4" t="s">
        <v>48</v>
      </c>
      <c r="B41" s="4"/>
      <c r="C41" s="4"/>
      <c r="D41" s="4"/>
    </row>
    <row r="42" spans="1:5" x14ac:dyDescent="0.25">
      <c r="A42" s="20" t="s">
        <v>110</v>
      </c>
      <c r="B42" s="20">
        <v>0.73099999999999998</v>
      </c>
      <c r="C42" s="20">
        <v>0.74099999999999999</v>
      </c>
      <c r="D42" s="20">
        <v>0.73699999999999999</v>
      </c>
    </row>
    <row r="43" spans="1:5" x14ac:dyDescent="0.25">
      <c r="A43" s="4" t="s">
        <v>50</v>
      </c>
      <c r="B43" s="4"/>
      <c r="C43" s="4"/>
      <c r="D43" s="4"/>
    </row>
    <row r="44" spans="1:5" x14ac:dyDescent="0.25">
      <c r="A44" s="20" t="s">
        <v>124</v>
      </c>
      <c r="B44" s="20">
        <v>78.62</v>
      </c>
      <c r="C44" s="20">
        <v>99.18</v>
      </c>
      <c r="D44" s="20">
        <v>86.39</v>
      </c>
      <c r="E44" t="s">
        <v>212</v>
      </c>
    </row>
    <row r="45" spans="1:5" x14ac:dyDescent="0.25">
      <c r="A45" s="4" t="s">
        <v>52</v>
      </c>
      <c r="B45" s="4"/>
      <c r="C45" s="4"/>
      <c r="D45" s="4"/>
    </row>
    <row r="46" spans="1:5" x14ac:dyDescent="0.25">
      <c r="A46" s="20" t="s">
        <v>125</v>
      </c>
      <c r="B46" s="21">
        <v>82.59</v>
      </c>
      <c r="C46" s="21">
        <v>101.62</v>
      </c>
      <c r="D46" s="21">
        <v>90.82</v>
      </c>
    </row>
    <row r="47" spans="1:5" x14ac:dyDescent="0.25">
      <c r="A47" s="4" t="s">
        <v>54</v>
      </c>
      <c r="B47" s="4"/>
      <c r="C47" s="4"/>
      <c r="D47" s="4"/>
    </row>
    <row r="48" spans="1:5" x14ac:dyDescent="0.25">
      <c r="A48" s="18" t="s">
        <v>116</v>
      </c>
      <c r="B48" s="19">
        <v>2.74</v>
      </c>
      <c r="C48" s="19">
        <v>3.25</v>
      </c>
      <c r="D48" s="19">
        <v>3.05</v>
      </c>
    </row>
    <row r="49" spans="1:5" x14ac:dyDescent="0.25">
      <c r="A49" s="4" t="s">
        <v>56</v>
      </c>
      <c r="B49" s="4"/>
      <c r="C49" s="4"/>
      <c r="D49" s="4"/>
    </row>
    <row r="50" spans="1:5" x14ac:dyDescent="0.25">
      <c r="A50" s="20" t="s">
        <v>57</v>
      </c>
      <c r="B50" s="21">
        <v>5056</v>
      </c>
      <c r="C50" s="21">
        <v>5336</v>
      </c>
      <c r="D50" s="21">
        <v>5185</v>
      </c>
      <c r="E50" t="s">
        <v>215</v>
      </c>
    </row>
    <row r="51" spans="1:5" ht="15.75" thickBot="1" x14ac:dyDescent="0.3">
      <c r="A51" s="4" t="s">
        <v>58</v>
      </c>
      <c r="B51" s="4"/>
      <c r="C51" s="4"/>
      <c r="D51" s="4"/>
    </row>
    <row r="52" spans="1:5" ht="16.5" thickTop="1" thickBot="1" x14ac:dyDescent="0.3">
      <c r="A52" s="23" t="s">
        <v>59</v>
      </c>
      <c r="B52" s="23">
        <v>5.7</v>
      </c>
      <c r="C52" s="23">
        <v>6.03</v>
      </c>
      <c r="D52" s="23">
        <v>5.88</v>
      </c>
    </row>
    <row r="53" spans="1:5" ht="15.75" thickTop="1" x14ac:dyDescent="0.25">
      <c r="A53" s="4" t="s">
        <v>185</v>
      </c>
      <c r="B53" s="4"/>
      <c r="C53" s="4"/>
      <c r="D53" s="4"/>
    </row>
    <row r="54" spans="1:5" x14ac:dyDescent="0.25">
      <c r="A54" s="20" t="s">
        <v>61</v>
      </c>
      <c r="B54" s="20">
        <v>82</v>
      </c>
      <c r="C54" s="20">
        <v>95</v>
      </c>
      <c r="D54" s="20">
        <v>88</v>
      </c>
      <c r="E54" t="s">
        <v>214</v>
      </c>
    </row>
    <row r="55" spans="1:5" x14ac:dyDescent="0.25">
      <c r="A55" s="4" t="s">
        <v>62</v>
      </c>
      <c r="B55" s="4"/>
      <c r="C55" s="4"/>
      <c r="D55" s="4"/>
    </row>
    <row r="56" spans="1:5" x14ac:dyDescent="0.25">
      <c r="A56" s="18" t="s">
        <v>63</v>
      </c>
      <c r="B56" s="18">
        <v>390</v>
      </c>
      <c r="C56" s="18">
        <v>414</v>
      </c>
      <c r="D56" s="18">
        <v>406</v>
      </c>
    </row>
    <row r="57" spans="1:5" x14ac:dyDescent="0.25">
      <c r="A57" s="4" t="s">
        <v>64</v>
      </c>
      <c r="B57" s="4"/>
      <c r="C57" s="4"/>
      <c r="D57" s="4"/>
    </row>
    <row r="58" spans="1:5" x14ac:dyDescent="0.25">
      <c r="A58" s="18" t="s">
        <v>121</v>
      </c>
      <c r="B58" s="18">
        <v>252</v>
      </c>
      <c r="C58" s="18">
        <v>267</v>
      </c>
      <c r="D58" s="18">
        <v>261</v>
      </c>
    </row>
    <row r="59" spans="1:5" x14ac:dyDescent="0.25">
      <c r="A59" s="4" t="s">
        <v>66</v>
      </c>
      <c r="B59" s="4"/>
      <c r="C59" s="4"/>
      <c r="D59" s="4"/>
    </row>
    <row r="60" spans="1:5" x14ac:dyDescent="0.25">
      <c r="A60" s="18" t="s">
        <v>67</v>
      </c>
      <c r="B60" s="18">
        <v>202</v>
      </c>
      <c r="C60" s="18">
        <v>221</v>
      </c>
      <c r="D60" s="18">
        <v>214</v>
      </c>
    </row>
    <row r="61" spans="1:5" x14ac:dyDescent="0.25">
      <c r="A61" t="s">
        <v>68</v>
      </c>
    </row>
    <row r="62" spans="1:5" x14ac:dyDescent="0.25">
      <c r="A62" s="18" t="s">
        <v>69</v>
      </c>
      <c r="B62" s="18">
        <v>638</v>
      </c>
      <c r="C62" s="18">
        <v>668</v>
      </c>
      <c r="D62" s="18">
        <v>654</v>
      </c>
    </row>
    <row r="63" spans="1:5" x14ac:dyDescent="0.25">
      <c r="A63" s="4" t="s">
        <v>70</v>
      </c>
      <c r="B63" s="4"/>
      <c r="C63" s="4"/>
      <c r="D63" s="4"/>
    </row>
    <row r="64" spans="1:5" x14ac:dyDescent="0.25">
      <c r="A64" s="18" t="s">
        <v>192</v>
      </c>
      <c r="B64" s="18">
        <v>296</v>
      </c>
      <c r="C64" s="18">
        <v>311</v>
      </c>
      <c r="D64" s="18">
        <v>307</v>
      </c>
      <c r="E64" t="s">
        <v>198</v>
      </c>
    </row>
    <row r="65" spans="1:5" ht="15.75" thickBot="1" x14ac:dyDescent="0.3">
      <c r="A65" s="4" t="s">
        <v>72</v>
      </c>
      <c r="B65" s="4"/>
      <c r="C65" s="4"/>
      <c r="D65" s="4"/>
    </row>
    <row r="66" spans="1:5" ht="16.5" thickTop="1" thickBot="1" x14ac:dyDescent="0.3">
      <c r="A66" s="23" t="s">
        <v>201</v>
      </c>
      <c r="B66" s="23">
        <v>90</v>
      </c>
      <c r="C66" s="23">
        <v>101</v>
      </c>
      <c r="D66" s="23">
        <v>97</v>
      </c>
    </row>
    <row r="67" spans="1:5" ht="15.75" thickTop="1" x14ac:dyDescent="0.25">
      <c r="A67" s="4" t="s">
        <v>74</v>
      </c>
      <c r="B67" s="4"/>
      <c r="C67" s="4"/>
      <c r="D67" s="4"/>
    </row>
    <row r="68" spans="1:5" x14ac:dyDescent="0.25">
      <c r="A68" s="18" t="s">
        <v>75</v>
      </c>
      <c r="B68" s="18">
        <v>388</v>
      </c>
      <c r="C68" s="18">
        <v>411</v>
      </c>
      <c r="D68" s="18">
        <v>399</v>
      </c>
    </row>
    <row r="69" spans="1:5" x14ac:dyDescent="0.25">
      <c r="A69" s="4" t="s">
        <v>76</v>
      </c>
      <c r="B69" s="4"/>
      <c r="C69" s="4"/>
      <c r="D69" s="4"/>
    </row>
    <row r="70" spans="1:5" x14ac:dyDescent="0.25">
      <c r="A70" s="18" t="s">
        <v>88</v>
      </c>
      <c r="B70" s="19">
        <v>175</v>
      </c>
      <c r="C70" s="19">
        <v>188</v>
      </c>
      <c r="D70" s="19">
        <v>185</v>
      </c>
    </row>
    <row r="71" spans="1:5" x14ac:dyDescent="0.25">
      <c r="A71" s="4" t="s">
        <v>78</v>
      </c>
      <c r="B71" s="4"/>
      <c r="C71" s="4"/>
      <c r="D71" s="4"/>
    </row>
    <row r="72" spans="1:5" x14ac:dyDescent="0.25">
      <c r="A72" s="18" t="s">
        <v>79</v>
      </c>
      <c r="B72" s="19">
        <v>142</v>
      </c>
      <c r="C72" s="19">
        <v>165</v>
      </c>
      <c r="D72" s="19">
        <v>149</v>
      </c>
      <c r="E72" t="s">
        <v>204</v>
      </c>
    </row>
    <row r="73" spans="1:5" x14ac:dyDescent="0.25">
      <c r="A73" s="35" t="s">
        <v>80</v>
      </c>
      <c r="B73" s="35"/>
      <c r="C73" s="35"/>
      <c r="D73" s="35"/>
    </row>
    <row r="74" spans="1:5" x14ac:dyDescent="0.25">
      <c r="A74" s="37" t="s">
        <v>81</v>
      </c>
      <c r="B74" s="38">
        <v>65148</v>
      </c>
      <c r="C74" s="38">
        <v>72831</v>
      </c>
      <c r="D74" s="38">
        <v>69455</v>
      </c>
    </row>
    <row r="75" spans="1:5" x14ac:dyDescent="0.25">
      <c r="A75" s="36" t="s">
        <v>82</v>
      </c>
      <c r="B75" s="36"/>
      <c r="C75" s="36"/>
      <c r="D75" s="36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187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222</v>
      </c>
    </row>
    <row r="83" spans="1:1" ht="45" x14ac:dyDescent="0.25">
      <c r="A83" s="31" t="s">
        <v>159</v>
      </c>
    </row>
    <row r="84" spans="1:1" ht="45" x14ac:dyDescent="0.25">
      <c r="A84" s="31" t="s">
        <v>190</v>
      </c>
    </row>
    <row r="85" spans="1:1" ht="30" x14ac:dyDescent="0.25">
      <c r="A85" s="31" t="s">
        <v>161</v>
      </c>
    </row>
    <row r="86" spans="1:1" ht="30" x14ac:dyDescent="0.25">
      <c r="A86" s="31" t="s">
        <v>205</v>
      </c>
    </row>
    <row r="87" spans="1:1" ht="45" x14ac:dyDescent="0.25">
      <c r="A87" s="31" t="s">
        <v>163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D78B-BA7B-48A0-ABEB-08294410138F}">
  <dimension ref="A1:I88"/>
  <sheetViews>
    <sheetView topLeftCell="A47" workbookViewId="0">
      <selection activeCell="G2" sqref="G2:I10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9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9" x14ac:dyDescent="0.25">
      <c r="A2" s="18" t="s">
        <v>13</v>
      </c>
      <c r="B2" s="18">
        <v>4.92</v>
      </c>
      <c r="C2" s="18">
        <v>4.63</v>
      </c>
      <c r="D2" s="18">
        <v>4.8899999999999997</v>
      </c>
      <c r="G2" t="s">
        <v>216</v>
      </c>
    </row>
    <row r="3" spans="1:9" x14ac:dyDescent="0.25">
      <c r="A3" s="4" t="s">
        <v>14</v>
      </c>
      <c r="B3" s="4"/>
      <c r="C3" s="4"/>
      <c r="D3" s="4"/>
      <c r="G3">
        <v>23.77</v>
      </c>
      <c r="H3">
        <v>28.51</v>
      </c>
      <c r="I3">
        <v>26.1</v>
      </c>
    </row>
    <row r="4" spans="1:9" x14ac:dyDescent="0.25">
      <c r="A4" s="26" t="s">
        <v>130</v>
      </c>
      <c r="B4" s="26">
        <v>4.2699999999999996</v>
      </c>
      <c r="C4" s="26">
        <v>3.97</v>
      </c>
      <c r="D4" s="26">
        <v>4.2300000000000004</v>
      </c>
      <c r="E4" t="s">
        <v>220</v>
      </c>
    </row>
    <row r="5" spans="1:9" x14ac:dyDescent="0.25">
      <c r="A5" s="4" t="s">
        <v>16</v>
      </c>
      <c r="B5" s="4"/>
      <c r="C5" s="4"/>
      <c r="D5" s="4"/>
      <c r="G5" t="s">
        <v>217</v>
      </c>
    </row>
    <row r="6" spans="1:9" x14ac:dyDescent="0.25">
      <c r="A6" s="20" t="s">
        <v>224</v>
      </c>
      <c r="B6" s="20">
        <v>3.72</v>
      </c>
      <c r="C6" s="20">
        <v>3.42</v>
      </c>
      <c r="D6" s="20">
        <v>3.66</v>
      </c>
      <c r="G6" s="33">
        <v>23.12</v>
      </c>
      <c r="H6" s="33">
        <v>23.44</v>
      </c>
      <c r="I6" s="33">
        <v>25.28</v>
      </c>
    </row>
    <row r="7" spans="1:9" x14ac:dyDescent="0.25">
      <c r="A7" s="4" t="s">
        <v>18</v>
      </c>
      <c r="B7" s="4"/>
      <c r="C7" s="4"/>
      <c r="D7" s="4"/>
      <c r="G7" t="s">
        <v>218</v>
      </c>
    </row>
    <row r="8" spans="1:9" x14ac:dyDescent="0.25">
      <c r="A8" s="18" t="s">
        <v>208</v>
      </c>
      <c r="B8" s="18">
        <v>79.569999999999993</v>
      </c>
      <c r="C8" s="18">
        <v>80.319999999999993</v>
      </c>
      <c r="D8" s="18">
        <v>79.86</v>
      </c>
      <c r="G8" s="33">
        <v>19.399999999999999</v>
      </c>
      <c r="H8" s="33">
        <v>22.42</v>
      </c>
      <c r="I8" s="33">
        <v>20.9</v>
      </c>
    </row>
    <row r="9" spans="1:9" x14ac:dyDescent="0.25">
      <c r="A9" s="4" t="s">
        <v>20</v>
      </c>
      <c r="B9" s="4"/>
      <c r="C9" s="4"/>
      <c r="D9" s="4"/>
      <c r="G9" t="s">
        <v>219</v>
      </c>
    </row>
    <row r="10" spans="1:9" x14ac:dyDescent="0.25">
      <c r="A10" s="26" t="s">
        <v>128</v>
      </c>
      <c r="B10" s="26">
        <v>108.8</v>
      </c>
      <c r="C10" s="26">
        <v>110.6</v>
      </c>
      <c r="D10" s="26">
        <v>109.2</v>
      </c>
      <c r="G10" s="34">
        <v>72.16</v>
      </c>
      <c r="H10" s="34">
        <v>84.36</v>
      </c>
      <c r="I10" s="34">
        <v>78.260000000000005</v>
      </c>
    </row>
    <row r="11" spans="1:9" x14ac:dyDescent="0.25">
      <c r="A11" s="4" t="s">
        <v>22</v>
      </c>
      <c r="B11" s="4"/>
      <c r="C11" s="4"/>
      <c r="D11" s="4"/>
    </row>
    <row r="12" spans="1:9" x14ac:dyDescent="0.25">
      <c r="A12" s="18" t="s">
        <v>209</v>
      </c>
      <c r="B12" s="19">
        <v>6701</v>
      </c>
      <c r="C12" s="19">
        <v>6865</v>
      </c>
      <c r="D12" s="19">
        <v>6775</v>
      </c>
      <c r="E12" t="s">
        <v>203</v>
      </c>
    </row>
    <row r="13" spans="1:9" ht="15.75" thickBot="1" x14ac:dyDescent="0.3">
      <c r="A13" s="4" t="s">
        <v>24</v>
      </c>
      <c r="B13" s="4"/>
      <c r="C13" s="4"/>
      <c r="D13" s="4"/>
    </row>
    <row r="14" spans="1:9" ht="16.5" thickTop="1" thickBot="1" x14ac:dyDescent="0.3">
      <c r="A14" s="25" t="s">
        <v>25</v>
      </c>
      <c r="B14" s="29">
        <v>22370</v>
      </c>
      <c r="C14" s="29">
        <v>22937</v>
      </c>
      <c r="D14" s="29">
        <v>22716</v>
      </c>
    </row>
    <row r="15" spans="1:9" ht="15.75" thickTop="1" x14ac:dyDescent="0.25">
      <c r="A15" s="4" t="s">
        <v>26</v>
      </c>
      <c r="B15" s="4"/>
      <c r="C15" s="4"/>
      <c r="D15" s="4"/>
    </row>
    <row r="16" spans="1:9" x14ac:dyDescent="0.25">
      <c r="A16" s="18" t="s">
        <v>27</v>
      </c>
      <c r="B16" s="19">
        <v>2486</v>
      </c>
      <c r="C16" s="19">
        <v>2596</v>
      </c>
      <c r="D16" s="19">
        <v>2542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136</v>
      </c>
      <c r="C18" s="18">
        <v>142</v>
      </c>
      <c r="D18" s="18">
        <v>140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155</v>
      </c>
      <c r="C20" s="20">
        <v>169</v>
      </c>
      <c r="D20" s="20">
        <v>164.69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45.81</v>
      </c>
      <c r="C22" s="21">
        <v>47.94</v>
      </c>
      <c r="D22" s="21">
        <v>46.17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3" t="s">
        <v>117</v>
      </c>
      <c r="B24" s="24">
        <v>4065</v>
      </c>
      <c r="C24" s="24">
        <v>4189</v>
      </c>
      <c r="D24" s="24">
        <v>4129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26" t="s">
        <v>35</v>
      </c>
      <c r="B26" s="28">
        <v>51922</v>
      </c>
      <c r="C26" s="28">
        <v>55692</v>
      </c>
      <c r="D26" s="28">
        <v>54452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22840</v>
      </c>
      <c r="C28" s="19">
        <v>24460</v>
      </c>
      <c r="D28" s="19">
        <v>23640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21.08</v>
      </c>
      <c r="C30" s="21">
        <v>29.44</v>
      </c>
      <c r="D30" s="21">
        <v>24.23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98.28</v>
      </c>
      <c r="C32" s="23">
        <v>99.73</v>
      </c>
      <c r="D32" s="23">
        <v>99.28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1.1499999999999999</v>
      </c>
      <c r="C34" s="25">
        <v>1.171</v>
      </c>
      <c r="D34" s="25">
        <v>1.1559999999999999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155.97999999999999</v>
      </c>
      <c r="C36" s="20">
        <v>158.99</v>
      </c>
      <c r="D36" s="20">
        <v>158.6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1.3280000000000001</v>
      </c>
      <c r="C38" s="18">
        <v>1.3460000000000001</v>
      </c>
      <c r="D38" s="18">
        <v>1.341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0" t="s">
        <v>110</v>
      </c>
      <c r="B40" s="20">
        <v>0.73</v>
      </c>
      <c r="C40" s="20">
        <v>0.74099999999999999</v>
      </c>
      <c r="D40" s="20">
        <v>0.73499999999999999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80.77</v>
      </c>
      <c r="C42" s="20">
        <v>99.56</v>
      </c>
      <c r="D42" s="20">
        <v>88.41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85.92</v>
      </c>
      <c r="C44" s="20">
        <v>102.67</v>
      </c>
      <c r="D44" s="20">
        <v>93.05</v>
      </c>
      <c r="E44" t="s">
        <v>212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2.79</v>
      </c>
      <c r="C46" s="19">
        <v>3.46</v>
      </c>
      <c r="D46" s="19">
        <v>3.22</v>
      </c>
    </row>
    <row r="47" spans="1:5" x14ac:dyDescent="0.25">
      <c r="A47" s="4" t="s">
        <v>56</v>
      </c>
      <c r="B47" s="4"/>
      <c r="C47" s="4"/>
      <c r="D47" s="4"/>
    </row>
    <row r="48" spans="1:5" x14ac:dyDescent="0.25">
      <c r="A48" s="20" t="s">
        <v>57</v>
      </c>
      <c r="B48" s="21">
        <v>5066</v>
      </c>
      <c r="C48" s="21">
        <v>5343</v>
      </c>
      <c r="D48" s="21">
        <v>5179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1">
        <v>5.71</v>
      </c>
      <c r="C50" s="21">
        <v>6.02</v>
      </c>
      <c r="D50" s="21">
        <v>5.87</v>
      </c>
      <c r="E50" t="s">
        <v>215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80</v>
      </c>
      <c r="C52" s="23">
        <v>94</v>
      </c>
      <c r="D52" s="23">
        <v>86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391</v>
      </c>
      <c r="C54" s="18">
        <v>414</v>
      </c>
      <c r="D54" s="18">
        <v>405</v>
      </c>
      <c r="E54" t="s">
        <v>214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255</v>
      </c>
      <c r="C56" s="18">
        <v>266</v>
      </c>
      <c r="D56" s="18">
        <v>261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203</v>
      </c>
      <c r="C58" s="18">
        <v>219</v>
      </c>
      <c r="D58" s="18">
        <v>213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637</v>
      </c>
      <c r="C60" s="18">
        <v>667</v>
      </c>
      <c r="D60" s="18">
        <v>655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296</v>
      </c>
      <c r="C62" s="18">
        <v>312</v>
      </c>
      <c r="D62" s="18">
        <v>309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92</v>
      </c>
      <c r="C64" s="20">
        <v>102</v>
      </c>
      <c r="D64" s="20">
        <v>95</v>
      </c>
      <c r="E64" t="s">
        <v>198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389</v>
      </c>
      <c r="C66" s="25">
        <v>412</v>
      </c>
      <c r="D66" s="25">
        <v>408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26" t="s">
        <v>77</v>
      </c>
      <c r="B68" s="26">
        <v>175</v>
      </c>
      <c r="C68" s="26">
        <v>188</v>
      </c>
      <c r="D68" s="26">
        <v>186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140</v>
      </c>
      <c r="C70" s="19">
        <v>166</v>
      </c>
      <c r="D70" s="19">
        <v>163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65326</v>
      </c>
      <c r="C72" s="19">
        <v>73207</v>
      </c>
      <c r="D72" s="19">
        <v>70645</v>
      </c>
    </row>
    <row r="73" spans="1:5" x14ac:dyDescent="0.25">
      <c r="A73" s="35" t="s">
        <v>82</v>
      </c>
      <c r="B73" s="35"/>
      <c r="C73" s="35"/>
      <c r="D73" s="35"/>
    </row>
    <row r="74" spans="1:5" x14ac:dyDescent="0.25">
      <c r="A74" s="37" t="s">
        <v>81</v>
      </c>
      <c r="B74" s="38">
        <v>65148</v>
      </c>
      <c r="C74" s="38">
        <v>72831</v>
      </c>
      <c r="D74" s="38">
        <v>69455</v>
      </c>
      <c r="E74" t="s">
        <v>223</v>
      </c>
    </row>
    <row r="75" spans="1:5" x14ac:dyDescent="0.25">
      <c r="A75" s="36" t="s">
        <v>82</v>
      </c>
      <c r="B75" s="36"/>
      <c r="C75" s="36"/>
      <c r="D75" s="36"/>
    </row>
    <row r="76" spans="1:5" ht="23.25" x14ac:dyDescent="0.35">
      <c r="A76" s="32" t="s">
        <v>164</v>
      </c>
    </row>
    <row r="77" spans="1:5" ht="30" x14ac:dyDescent="0.25">
      <c r="A77" s="31" t="s">
        <v>152</v>
      </c>
    </row>
    <row r="78" spans="1:5" ht="30" x14ac:dyDescent="0.25">
      <c r="A78" s="31" t="s">
        <v>187</v>
      </c>
    </row>
    <row r="79" spans="1:5" ht="45" x14ac:dyDescent="0.25">
      <c r="A79" s="31" t="s">
        <v>154</v>
      </c>
    </row>
    <row r="80" spans="1:5" ht="30" x14ac:dyDescent="0.25">
      <c r="A80" s="31" t="s">
        <v>188</v>
      </c>
    </row>
    <row r="81" spans="1:1" ht="45" x14ac:dyDescent="0.25">
      <c r="A81" s="31" t="s">
        <v>156</v>
      </c>
    </row>
    <row r="82" spans="1:1" ht="30" x14ac:dyDescent="0.25">
      <c r="A82" s="31" t="s">
        <v>222</v>
      </c>
    </row>
    <row r="83" spans="1:1" ht="45" x14ac:dyDescent="0.25">
      <c r="A83" s="31" t="s">
        <v>159</v>
      </c>
    </row>
    <row r="84" spans="1:1" ht="45" x14ac:dyDescent="0.25">
      <c r="A84" s="31" t="s">
        <v>190</v>
      </c>
    </row>
    <row r="85" spans="1:1" ht="30" x14ac:dyDescent="0.25">
      <c r="A85" s="31" t="s">
        <v>161</v>
      </c>
    </row>
    <row r="86" spans="1:1" ht="30" x14ac:dyDescent="0.25">
      <c r="A86" s="31" t="s">
        <v>205</v>
      </c>
    </row>
    <row r="87" spans="1:1" ht="45" x14ac:dyDescent="0.25">
      <c r="A87" s="31" t="s">
        <v>163</v>
      </c>
    </row>
    <row r="88" spans="1:1" ht="45" x14ac:dyDescent="0.25">
      <c r="A88" s="31" t="s">
        <v>163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3994-DACA-4F69-B631-D37F1B355210}">
  <dimension ref="A1:I86"/>
  <sheetViews>
    <sheetView topLeftCell="A44" workbookViewId="0">
      <selection activeCell="C54" sqref="C54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9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9" x14ac:dyDescent="0.25">
      <c r="A2" s="20" t="s">
        <v>108</v>
      </c>
      <c r="B2" s="20">
        <v>4.9400000000000004</v>
      </c>
      <c r="C2" s="20">
        <v>4.6500000000000004</v>
      </c>
      <c r="D2" s="20">
        <v>4.8899999999999997</v>
      </c>
      <c r="G2" t="s">
        <v>216</v>
      </c>
    </row>
    <row r="3" spans="1:9" x14ac:dyDescent="0.25">
      <c r="A3" s="4" t="s">
        <v>14</v>
      </c>
      <c r="B3" s="4"/>
      <c r="C3" s="4"/>
      <c r="D3" s="4"/>
      <c r="G3">
        <v>23.77</v>
      </c>
      <c r="H3">
        <v>28.51</v>
      </c>
      <c r="I3">
        <v>26.1</v>
      </c>
    </row>
    <row r="4" spans="1:9" x14ac:dyDescent="0.25">
      <c r="A4" s="20" t="s">
        <v>127</v>
      </c>
      <c r="B4" s="20">
        <v>4.3</v>
      </c>
      <c r="C4" s="20">
        <v>4.01</v>
      </c>
      <c r="D4" s="20">
        <v>4.2699999999999996</v>
      </c>
      <c r="E4" t="s">
        <v>220</v>
      </c>
    </row>
    <row r="5" spans="1:9" x14ac:dyDescent="0.25">
      <c r="A5" s="4" t="s">
        <v>16</v>
      </c>
      <c r="B5" s="4"/>
      <c r="C5" s="4"/>
      <c r="D5" s="4"/>
      <c r="G5" t="s">
        <v>217</v>
      </c>
    </row>
    <row r="6" spans="1:9" x14ac:dyDescent="0.25">
      <c r="A6" s="20" t="s">
        <v>224</v>
      </c>
      <c r="B6" s="20">
        <v>3.77</v>
      </c>
      <c r="C6" s="20">
        <v>3.51</v>
      </c>
      <c r="D6" s="20">
        <v>3.74</v>
      </c>
      <c r="G6" s="33">
        <v>23.12</v>
      </c>
      <c r="H6" s="33">
        <v>23.44</v>
      </c>
      <c r="I6" s="33">
        <v>25.28</v>
      </c>
    </row>
    <row r="7" spans="1:9" x14ac:dyDescent="0.25">
      <c r="A7" s="4" t="s">
        <v>18</v>
      </c>
      <c r="B7" s="4"/>
      <c r="C7" s="4"/>
      <c r="D7" s="4"/>
      <c r="G7" t="s">
        <v>218</v>
      </c>
    </row>
    <row r="8" spans="1:9" x14ac:dyDescent="0.25">
      <c r="A8" s="18" t="s">
        <v>208</v>
      </c>
      <c r="B8" s="18">
        <v>79.13</v>
      </c>
      <c r="C8" s="18">
        <v>80.14</v>
      </c>
      <c r="D8" s="18">
        <v>79.349999999999994</v>
      </c>
      <c r="G8" s="33">
        <v>19.399999999999999</v>
      </c>
      <c r="H8" s="33">
        <v>22.42</v>
      </c>
      <c r="I8" s="33">
        <v>20.9</v>
      </c>
    </row>
    <row r="9" spans="1:9" x14ac:dyDescent="0.25">
      <c r="A9" s="4" t="s">
        <v>20</v>
      </c>
      <c r="B9" s="4"/>
      <c r="C9" s="4"/>
      <c r="D9" s="4"/>
      <c r="G9" t="s">
        <v>219</v>
      </c>
    </row>
    <row r="10" spans="1:9" x14ac:dyDescent="0.25">
      <c r="A10" s="26" t="s">
        <v>128</v>
      </c>
      <c r="B10" s="26">
        <v>108.2</v>
      </c>
      <c r="C10" s="26">
        <v>110.3</v>
      </c>
      <c r="D10" s="26">
        <v>108.6</v>
      </c>
      <c r="G10" s="34">
        <v>72.16</v>
      </c>
      <c r="H10" s="34">
        <v>84.36</v>
      </c>
      <c r="I10" s="34">
        <v>78.260000000000005</v>
      </c>
    </row>
    <row r="11" spans="1:9" x14ac:dyDescent="0.25">
      <c r="A11" s="4" t="s">
        <v>22</v>
      </c>
      <c r="B11" s="4"/>
      <c r="C11" s="4"/>
      <c r="D11" s="4"/>
    </row>
    <row r="12" spans="1:9" x14ac:dyDescent="0.25">
      <c r="A12" s="18" t="s">
        <v>209</v>
      </c>
      <c r="B12" s="19">
        <v>6633</v>
      </c>
      <c r="C12" s="19">
        <v>6841</v>
      </c>
      <c r="D12" s="19">
        <v>6672</v>
      </c>
      <c r="E12" t="s">
        <v>203</v>
      </c>
    </row>
    <row r="13" spans="1:9" ht="15.75" thickBot="1" x14ac:dyDescent="0.3">
      <c r="A13" s="4" t="s">
        <v>24</v>
      </c>
      <c r="B13" s="4"/>
      <c r="C13" s="4"/>
      <c r="D13" s="4"/>
    </row>
    <row r="14" spans="1:9" ht="16.5" thickTop="1" thickBot="1" x14ac:dyDescent="0.3">
      <c r="A14" s="25" t="s">
        <v>25</v>
      </c>
      <c r="B14" s="29">
        <v>22200</v>
      </c>
      <c r="C14" s="29">
        <v>22915</v>
      </c>
      <c r="D14" s="29">
        <v>22311</v>
      </c>
    </row>
    <row r="15" spans="1:9" ht="15.75" thickTop="1" x14ac:dyDescent="0.25">
      <c r="A15" s="4" t="s">
        <v>26</v>
      </c>
      <c r="B15" s="4"/>
      <c r="C15" s="4"/>
      <c r="D15" s="4"/>
    </row>
    <row r="16" spans="1:9" x14ac:dyDescent="0.25">
      <c r="A16" s="18" t="s">
        <v>27</v>
      </c>
      <c r="B16" s="19">
        <v>2468</v>
      </c>
      <c r="C16" s="19">
        <v>2575</v>
      </c>
      <c r="D16" s="19">
        <v>2488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134</v>
      </c>
      <c r="C18" s="18">
        <v>141</v>
      </c>
      <c r="D18" s="18">
        <v>138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157</v>
      </c>
      <c r="C20" s="20">
        <v>169</v>
      </c>
      <c r="D20" s="20">
        <v>166.71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45.85</v>
      </c>
      <c r="C22" s="21">
        <v>47.74</v>
      </c>
      <c r="D22" s="21">
        <v>46.5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3" t="s">
        <v>117</v>
      </c>
      <c r="B24" s="24">
        <v>4064</v>
      </c>
      <c r="C24" s="24">
        <v>4183</v>
      </c>
      <c r="D24" s="24">
        <v>4095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52271</v>
      </c>
      <c r="C26" s="19">
        <v>55304</v>
      </c>
      <c r="D26" s="19">
        <v>53819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23118</v>
      </c>
      <c r="C28" s="19">
        <v>24397</v>
      </c>
      <c r="D28" s="19">
        <v>23589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21.51</v>
      </c>
      <c r="C30" s="21">
        <v>29.99</v>
      </c>
      <c r="D30" s="21">
        <v>27.29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98.47</v>
      </c>
      <c r="C32" s="23">
        <v>100.32</v>
      </c>
      <c r="D32" s="23">
        <v>100.08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1.1439999999999999</v>
      </c>
      <c r="C34" s="25">
        <v>1.167</v>
      </c>
      <c r="D34" s="25">
        <v>1.147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156.97</v>
      </c>
      <c r="C36" s="20">
        <v>159.93</v>
      </c>
      <c r="D36" s="20">
        <v>159.32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1.3240000000000001</v>
      </c>
      <c r="C38" s="18">
        <v>1.3420000000000001</v>
      </c>
      <c r="D38" s="18">
        <v>1.3260000000000001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0" t="s">
        <v>110</v>
      </c>
      <c r="B40" s="20">
        <v>0.72799999999999998</v>
      </c>
      <c r="C40" s="20">
        <v>0.74</v>
      </c>
      <c r="D40" s="20">
        <v>0.73099999999999998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83.08</v>
      </c>
      <c r="C42" s="20">
        <v>103.14</v>
      </c>
      <c r="D42" s="20">
        <v>96.39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88.75</v>
      </c>
      <c r="C44" s="20">
        <v>106.08</v>
      </c>
      <c r="D44" s="20">
        <v>101.22</v>
      </c>
      <c r="E44" t="s">
        <v>212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2.82</v>
      </c>
      <c r="C46" s="19">
        <v>3.44</v>
      </c>
      <c r="D46" s="19">
        <v>3.25</v>
      </c>
    </row>
    <row r="47" spans="1:5" x14ac:dyDescent="0.25">
      <c r="A47" s="4" t="s">
        <v>56</v>
      </c>
      <c r="B47" s="4"/>
      <c r="C47" s="4"/>
      <c r="D47" s="4"/>
    </row>
    <row r="48" spans="1:5" x14ac:dyDescent="0.25">
      <c r="A48" s="20" t="s">
        <v>57</v>
      </c>
      <c r="B48" s="21">
        <v>5020</v>
      </c>
      <c r="C48" s="21">
        <v>5313</v>
      </c>
      <c r="D48" s="21">
        <v>5095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1">
        <v>5.65</v>
      </c>
      <c r="C50" s="21">
        <v>6</v>
      </c>
      <c r="D50" s="21">
        <v>5.78</v>
      </c>
      <c r="E50" t="s">
        <v>215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79</v>
      </c>
      <c r="C52" s="23">
        <v>91</v>
      </c>
      <c r="D52" s="23">
        <v>84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386</v>
      </c>
      <c r="C54" s="18">
        <v>412</v>
      </c>
      <c r="D54" s="18">
        <v>402</v>
      </c>
      <c r="E54" t="s">
        <v>214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252</v>
      </c>
      <c r="C56" s="18">
        <v>264</v>
      </c>
      <c r="D56" s="18">
        <v>256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199</v>
      </c>
      <c r="C58" s="18">
        <v>218</v>
      </c>
      <c r="D58" s="18">
        <v>210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634</v>
      </c>
      <c r="C60" s="18">
        <v>660</v>
      </c>
      <c r="D60" s="18">
        <v>638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294</v>
      </c>
      <c r="C62" s="18">
        <v>310</v>
      </c>
      <c r="D62" s="18">
        <v>304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92</v>
      </c>
      <c r="C64" s="20">
        <v>103</v>
      </c>
      <c r="D64" s="20">
        <v>94</v>
      </c>
      <c r="E64" t="s">
        <v>198</v>
      </c>
    </row>
    <row r="65" spans="1:5" ht="15.75" thickBot="1" x14ac:dyDescent="0.3">
      <c r="A65" s="4" t="s">
        <v>74</v>
      </c>
      <c r="B65" s="4"/>
      <c r="C65" s="4"/>
      <c r="D65" s="4"/>
    </row>
    <row r="66" spans="1:5" ht="16.5" thickTop="1" thickBot="1" x14ac:dyDescent="0.3">
      <c r="A66" s="25" t="s">
        <v>75</v>
      </c>
      <c r="B66" s="25">
        <v>386</v>
      </c>
      <c r="C66" s="25">
        <v>410</v>
      </c>
      <c r="D66" s="25">
        <v>395</v>
      </c>
    </row>
    <row r="67" spans="1:5" ht="15.75" thickTop="1" x14ac:dyDescent="0.25">
      <c r="A67" s="4" t="s">
        <v>76</v>
      </c>
      <c r="B67" s="4"/>
      <c r="C67" s="4"/>
      <c r="D67" s="4"/>
    </row>
    <row r="68" spans="1:5" x14ac:dyDescent="0.25">
      <c r="A68" s="18" t="s">
        <v>88</v>
      </c>
      <c r="B68" s="18">
        <v>176</v>
      </c>
      <c r="C68" s="18">
        <v>187</v>
      </c>
      <c r="D68" s="18">
        <v>183</v>
      </c>
    </row>
    <row r="69" spans="1:5" x14ac:dyDescent="0.25">
      <c r="A69" s="4" t="s">
        <v>78</v>
      </c>
      <c r="B69" s="4"/>
      <c r="C69" s="4"/>
      <c r="D69" s="4"/>
    </row>
    <row r="70" spans="1:5" x14ac:dyDescent="0.25">
      <c r="A70" s="18" t="s">
        <v>79</v>
      </c>
      <c r="B70" s="19">
        <v>141</v>
      </c>
      <c r="C70" s="19">
        <v>165</v>
      </c>
      <c r="D70" s="19">
        <v>159</v>
      </c>
    </row>
    <row r="71" spans="1:5" x14ac:dyDescent="0.25">
      <c r="A71" s="4" t="s">
        <v>80</v>
      </c>
      <c r="B71" s="4"/>
      <c r="C71" s="4"/>
      <c r="D71" s="4"/>
    </row>
    <row r="72" spans="1:5" x14ac:dyDescent="0.25">
      <c r="A72" s="18" t="s">
        <v>81</v>
      </c>
      <c r="B72" s="19">
        <v>65553</v>
      </c>
      <c r="C72" s="19">
        <v>73113</v>
      </c>
      <c r="D72" s="19">
        <v>72321</v>
      </c>
      <c r="E72" t="s">
        <v>223</v>
      </c>
    </row>
    <row r="73" spans="1:5" x14ac:dyDescent="0.25">
      <c r="A73" s="39" t="s">
        <v>82</v>
      </c>
      <c r="B73" s="39"/>
      <c r="C73" s="39"/>
      <c r="D73" s="39"/>
    </row>
    <row r="74" spans="1:5" ht="23.25" x14ac:dyDescent="0.35">
      <c r="A74" s="32" t="s">
        <v>164</v>
      </c>
    </row>
    <row r="75" spans="1:5" ht="30" x14ac:dyDescent="0.25">
      <c r="A75" s="31" t="s">
        <v>152</v>
      </c>
    </row>
    <row r="76" spans="1:5" ht="30" x14ac:dyDescent="0.25">
      <c r="A76" s="31" t="s">
        <v>187</v>
      </c>
    </row>
    <row r="77" spans="1:5" ht="45" x14ac:dyDescent="0.25">
      <c r="A77" s="31" t="s">
        <v>154</v>
      </c>
    </row>
    <row r="78" spans="1:5" ht="30" x14ac:dyDescent="0.25">
      <c r="A78" s="31" t="s">
        <v>188</v>
      </c>
    </row>
    <row r="79" spans="1:5" ht="45" x14ac:dyDescent="0.25">
      <c r="A79" s="31" t="s">
        <v>156</v>
      </c>
    </row>
    <row r="80" spans="1:5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161</v>
      </c>
    </row>
    <row r="84" spans="1:1" ht="30" x14ac:dyDescent="0.25">
      <c r="A84" s="31" t="s">
        <v>205</v>
      </c>
    </row>
    <row r="85" spans="1:1" ht="45" x14ac:dyDescent="0.25">
      <c r="A85" s="31" t="s">
        <v>163</v>
      </c>
    </row>
    <row r="86" spans="1:1" ht="45" x14ac:dyDescent="0.25">
      <c r="A86" s="31" t="s">
        <v>163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40EB-268F-4295-9880-ADECEC3C0792}">
  <dimension ref="A1:I86"/>
  <sheetViews>
    <sheetView topLeftCell="A46" workbookViewId="0">
      <selection activeCell="D59" sqref="D59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9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9" x14ac:dyDescent="0.25">
      <c r="A2" s="20" t="s">
        <v>108</v>
      </c>
      <c r="B2" s="20">
        <v>4.95</v>
      </c>
      <c r="C2" s="20">
        <v>4.7</v>
      </c>
      <c r="D2" s="20">
        <v>4.9000000000000004</v>
      </c>
      <c r="G2" t="s">
        <v>216</v>
      </c>
    </row>
    <row r="3" spans="1:9" x14ac:dyDescent="0.25">
      <c r="A3" s="4" t="s">
        <v>14</v>
      </c>
      <c r="B3" s="4"/>
      <c r="C3" s="4"/>
      <c r="D3" s="4"/>
      <c r="G3">
        <v>23.77</v>
      </c>
      <c r="H3">
        <v>28.51</v>
      </c>
      <c r="I3">
        <v>26.1</v>
      </c>
    </row>
    <row r="4" spans="1:9" x14ac:dyDescent="0.25">
      <c r="A4" s="20" t="s">
        <v>127</v>
      </c>
      <c r="B4" s="20">
        <v>4.3</v>
      </c>
      <c r="C4" s="20">
        <v>4.0999999999999996</v>
      </c>
      <c r="D4" s="20">
        <v>4.28</v>
      </c>
      <c r="E4" t="s">
        <v>220</v>
      </c>
    </row>
    <row r="5" spans="1:9" x14ac:dyDescent="0.25">
      <c r="A5" s="4" t="s">
        <v>16</v>
      </c>
      <c r="B5" s="4"/>
      <c r="C5" s="4"/>
      <c r="D5" s="4"/>
      <c r="G5" t="s">
        <v>217</v>
      </c>
    </row>
    <row r="6" spans="1:9" x14ac:dyDescent="0.25">
      <c r="A6" s="20" t="s">
        <v>224</v>
      </c>
      <c r="B6" s="20">
        <v>3.79</v>
      </c>
      <c r="C6" s="20">
        <v>3.54</v>
      </c>
      <c r="D6" s="20">
        <v>3.73</v>
      </c>
      <c r="G6" s="33">
        <v>23.12</v>
      </c>
      <c r="H6" s="33">
        <v>23.44</v>
      </c>
      <c r="I6" s="33">
        <v>25.28</v>
      </c>
    </row>
    <row r="7" spans="1:9" x14ac:dyDescent="0.25">
      <c r="A7" s="4" t="s">
        <v>18</v>
      </c>
      <c r="B7" s="4"/>
      <c r="C7" s="4"/>
      <c r="D7" s="4"/>
      <c r="G7" t="s">
        <v>218</v>
      </c>
    </row>
    <row r="8" spans="1:9" x14ac:dyDescent="0.25">
      <c r="A8" s="18" t="s">
        <v>208</v>
      </c>
      <c r="B8" s="18">
        <v>79.010000000000005</v>
      </c>
      <c r="C8" s="18">
        <v>80.099999999999994</v>
      </c>
      <c r="D8" s="18">
        <v>79.2</v>
      </c>
      <c r="G8" s="33">
        <v>19.399999999999999</v>
      </c>
      <c r="H8" s="33">
        <v>22.42</v>
      </c>
      <c r="I8" s="33">
        <v>20.9</v>
      </c>
    </row>
    <row r="9" spans="1:9" x14ac:dyDescent="0.25">
      <c r="A9" s="4" t="s">
        <v>20</v>
      </c>
      <c r="B9" s="4"/>
      <c r="C9" s="4"/>
      <c r="D9" s="4"/>
      <c r="G9" t="s">
        <v>219</v>
      </c>
    </row>
    <row r="10" spans="1:9" x14ac:dyDescent="0.25">
      <c r="A10" s="26" t="s">
        <v>128</v>
      </c>
      <c r="B10" s="26">
        <v>108</v>
      </c>
      <c r="C10" s="26">
        <v>110.2</v>
      </c>
      <c r="D10" s="26">
        <v>108.2</v>
      </c>
      <c r="G10" s="34">
        <v>72.16</v>
      </c>
      <c r="H10" s="34">
        <v>84.36</v>
      </c>
      <c r="I10" s="34">
        <v>78.260000000000005</v>
      </c>
    </row>
    <row r="11" spans="1:9" x14ac:dyDescent="0.25">
      <c r="A11" s="4" t="s">
        <v>22</v>
      </c>
      <c r="B11" s="4"/>
      <c r="C11" s="4"/>
      <c r="D11" s="4"/>
    </row>
    <row r="12" spans="1:9" x14ac:dyDescent="0.25">
      <c r="A12" s="18" t="s">
        <v>209</v>
      </c>
      <c r="B12" s="19">
        <v>6614</v>
      </c>
      <c r="C12" s="19">
        <v>6820</v>
      </c>
      <c r="D12" s="19">
        <v>6632</v>
      </c>
      <c r="E12" t="s">
        <v>203</v>
      </c>
    </row>
    <row r="13" spans="1:9" ht="15.75" thickBot="1" x14ac:dyDescent="0.3">
      <c r="A13" s="4" t="s">
        <v>24</v>
      </c>
      <c r="B13" s="4"/>
      <c r="C13" s="4"/>
      <c r="D13" s="4"/>
    </row>
    <row r="14" spans="1:9" ht="16.5" thickTop="1" thickBot="1" x14ac:dyDescent="0.3">
      <c r="A14" s="25" t="s">
        <v>25</v>
      </c>
      <c r="B14" s="29">
        <v>22002</v>
      </c>
      <c r="C14" s="29">
        <v>22784</v>
      </c>
      <c r="D14" s="29">
        <v>22105</v>
      </c>
    </row>
    <row r="15" spans="1:9" ht="15.75" thickTop="1" x14ac:dyDescent="0.25">
      <c r="A15" s="4" t="s">
        <v>26</v>
      </c>
      <c r="B15" s="4"/>
      <c r="C15" s="4"/>
      <c r="D15" s="4"/>
    </row>
    <row r="16" spans="1:9" x14ac:dyDescent="0.25">
      <c r="A16" s="18" t="s">
        <v>27</v>
      </c>
      <c r="B16" s="19">
        <v>2457</v>
      </c>
      <c r="C16" s="19">
        <v>2557</v>
      </c>
      <c r="D16" s="19">
        <v>2480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134</v>
      </c>
      <c r="C18" s="18">
        <v>140</v>
      </c>
      <c r="D18" s="18">
        <v>137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159</v>
      </c>
      <c r="C20" s="20">
        <v>170</v>
      </c>
      <c r="D20" s="20">
        <v>167.89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45.98</v>
      </c>
      <c r="C22" s="21">
        <v>47.72</v>
      </c>
      <c r="D22" s="21">
        <v>46.96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3" t="s">
        <v>117</v>
      </c>
      <c r="B24" s="24">
        <v>4069</v>
      </c>
      <c r="C24" s="24">
        <v>4166</v>
      </c>
      <c r="D24" s="24">
        <v>4084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52637</v>
      </c>
      <c r="C26" s="19">
        <v>55333</v>
      </c>
      <c r="D26" s="19">
        <v>53751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23205</v>
      </c>
      <c r="C28" s="19">
        <v>24229</v>
      </c>
      <c r="D28" s="19">
        <v>23447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20.67</v>
      </c>
      <c r="C30" s="21">
        <v>29.97</v>
      </c>
      <c r="D30" s="21">
        <v>27.19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98.63</v>
      </c>
      <c r="C32" s="23">
        <v>100.78</v>
      </c>
      <c r="D32" s="23">
        <v>100.03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1.1399999999999999</v>
      </c>
      <c r="C34" s="25">
        <v>1.1659999999999999</v>
      </c>
      <c r="D34" s="25">
        <v>1.1479999999999999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157.21</v>
      </c>
      <c r="C36" s="20">
        <v>160.33000000000001</v>
      </c>
      <c r="D36" s="20">
        <v>159.22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1.3220000000000001</v>
      </c>
      <c r="C38" s="18">
        <v>1.343</v>
      </c>
      <c r="D38" s="18">
        <v>1.327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0" t="s">
        <v>110</v>
      </c>
      <c r="B40" s="20">
        <v>0.72499999999999998</v>
      </c>
      <c r="C40" s="20">
        <v>0.73699999999999999</v>
      </c>
      <c r="D40" s="20">
        <v>0.73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86.74</v>
      </c>
      <c r="C42" s="20">
        <v>104.96</v>
      </c>
      <c r="D42" s="20">
        <v>99.31</v>
      </c>
      <c r="E42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90.77</v>
      </c>
      <c r="C44" s="20">
        <v>107.24</v>
      </c>
      <c r="D44" s="20">
        <v>103.86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2.86</v>
      </c>
      <c r="C46" s="19">
        <v>3.4</v>
      </c>
      <c r="D46" s="19">
        <v>3.13</v>
      </c>
    </row>
    <row r="47" spans="1:5" x14ac:dyDescent="0.25">
      <c r="A47" s="4" t="s">
        <v>56</v>
      </c>
      <c r="B47" s="4"/>
      <c r="C47" s="4"/>
      <c r="D47" s="4"/>
    </row>
    <row r="48" spans="1:5" x14ac:dyDescent="0.25">
      <c r="A48" s="20" t="s">
        <v>57</v>
      </c>
      <c r="B48" s="21">
        <v>4965</v>
      </c>
      <c r="C48" s="21">
        <v>5249</v>
      </c>
      <c r="D48" s="21">
        <v>5004</v>
      </c>
      <c r="E48" t="s">
        <v>215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6" t="s">
        <v>226</v>
      </c>
      <c r="B50" s="28">
        <v>5.6</v>
      </c>
      <c r="C50" s="28">
        <v>5.98</v>
      </c>
      <c r="D50" s="28">
        <v>5.63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77</v>
      </c>
      <c r="C52" s="23">
        <v>89</v>
      </c>
      <c r="D52" s="23">
        <v>81</v>
      </c>
      <c r="E52" t="s">
        <v>214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389</v>
      </c>
      <c r="C54" s="18">
        <v>411</v>
      </c>
      <c r="D54" s="18">
        <v>396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247</v>
      </c>
      <c r="C56" s="18">
        <v>262</v>
      </c>
      <c r="D56" s="18">
        <v>250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202</v>
      </c>
      <c r="C58" s="18">
        <v>218</v>
      </c>
      <c r="D58" s="18">
        <v>208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605</v>
      </c>
      <c r="C60" s="18">
        <v>651</v>
      </c>
      <c r="D60" s="18">
        <v>614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295</v>
      </c>
      <c r="C62" s="18">
        <v>311</v>
      </c>
      <c r="D62" s="18">
        <v>302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93</v>
      </c>
      <c r="C64" s="20">
        <v>102</v>
      </c>
      <c r="D64" s="20">
        <v>95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384</v>
      </c>
      <c r="C66" s="25">
        <v>408</v>
      </c>
      <c r="D66" s="25">
        <v>391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172</v>
      </c>
      <c r="C68" s="18">
        <v>186</v>
      </c>
      <c r="D68" s="18">
        <v>180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143</v>
      </c>
      <c r="C70" s="19">
        <v>164</v>
      </c>
      <c r="D70" s="19">
        <v>155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66323</v>
      </c>
      <c r="C72" s="19">
        <v>74667</v>
      </c>
      <c r="D72" s="19">
        <v>73608</v>
      </c>
      <c r="E72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152</v>
      </c>
    </row>
    <row r="76" spans="1:6" ht="30" x14ac:dyDescent="0.25">
      <c r="A76" s="31" t="s">
        <v>187</v>
      </c>
    </row>
    <row r="77" spans="1:6" ht="45" x14ac:dyDescent="0.25">
      <c r="A77" s="31" t="s">
        <v>154</v>
      </c>
    </row>
    <row r="78" spans="1:6" ht="30" x14ac:dyDescent="0.25">
      <c r="A78" s="31" t="s">
        <v>188</v>
      </c>
    </row>
    <row r="79" spans="1:6" ht="45" x14ac:dyDescent="0.25">
      <c r="A79" s="31" t="s">
        <v>156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161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12C5-1784-4BF0-BB37-8CD30BB6D625}">
  <dimension ref="A1:G86"/>
  <sheetViews>
    <sheetView topLeftCell="A65" workbookViewId="0">
      <selection activeCell="A65" sqref="A1:G104857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7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7" x14ac:dyDescent="0.25">
      <c r="A2" s="20" t="s">
        <v>108</v>
      </c>
      <c r="B2" s="20">
        <v>4.92</v>
      </c>
      <c r="C2" s="20">
        <v>4.7</v>
      </c>
      <c r="D2" s="20">
        <v>4.87</v>
      </c>
      <c r="G2" t="s">
        <v>216</v>
      </c>
    </row>
    <row r="3" spans="1:7" x14ac:dyDescent="0.25">
      <c r="A3" s="4" t="s">
        <v>14</v>
      </c>
      <c r="B3" s="4"/>
      <c r="C3" s="4"/>
      <c r="D3" s="4"/>
      <c r="G3">
        <v>23.77</v>
      </c>
    </row>
    <row r="4" spans="1:7" x14ac:dyDescent="0.25">
      <c r="A4" s="20" t="s">
        <v>127</v>
      </c>
      <c r="B4" s="20">
        <v>4.32</v>
      </c>
      <c r="C4" s="20">
        <v>4.08</v>
      </c>
      <c r="D4" s="20">
        <v>4.22</v>
      </c>
      <c r="E4" t="s">
        <v>220</v>
      </c>
    </row>
    <row r="5" spans="1:7" x14ac:dyDescent="0.25">
      <c r="A5" s="4" t="s">
        <v>16</v>
      </c>
      <c r="B5" s="4"/>
      <c r="C5" s="4"/>
      <c r="D5" s="4"/>
      <c r="G5" t="s">
        <v>217</v>
      </c>
    </row>
    <row r="6" spans="1:7" x14ac:dyDescent="0.25">
      <c r="A6" s="20" t="s">
        <v>224</v>
      </c>
      <c r="B6" s="20">
        <v>3.75</v>
      </c>
      <c r="C6" s="20">
        <v>3.55</v>
      </c>
      <c r="D6" s="20">
        <v>3.69</v>
      </c>
      <c r="G6" s="33">
        <v>23.12</v>
      </c>
    </row>
    <row r="7" spans="1:7" x14ac:dyDescent="0.25">
      <c r="A7" s="4" t="s">
        <v>18</v>
      </c>
      <c r="B7" s="4"/>
      <c r="C7" s="4"/>
      <c r="D7" s="4"/>
      <c r="G7" t="s">
        <v>218</v>
      </c>
    </row>
    <row r="8" spans="1:7" x14ac:dyDescent="0.25">
      <c r="A8" s="18" t="s">
        <v>208</v>
      </c>
      <c r="B8" s="18">
        <v>78.989999999999995</v>
      </c>
      <c r="C8" s="18">
        <v>80.040000000000006</v>
      </c>
      <c r="D8" s="18">
        <v>79.45</v>
      </c>
      <c r="G8" s="33">
        <v>19.399999999999999</v>
      </c>
    </row>
    <row r="9" spans="1:7" x14ac:dyDescent="0.25">
      <c r="A9" s="4" t="s">
        <v>20</v>
      </c>
      <c r="B9" s="4"/>
      <c r="C9" s="4"/>
      <c r="D9" s="4"/>
      <c r="G9" t="s">
        <v>219</v>
      </c>
    </row>
    <row r="10" spans="1:7" x14ac:dyDescent="0.25">
      <c r="A10" s="18" t="s">
        <v>229</v>
      </c>
      <c r="B10" s="18">
        <v>107.4</v>
      </c>
      <c r="C10" s="18">
        <v>109.8</v>
      </c>
      <c r="D10" s="18">
        <v>108.7</v>
      </c>
      <c r="G10" s="34">
        <v>72.16</v>
      </c>
    </row>
    <row r="11" spans="1:7" x14ac:dyDescent="0.25">
      <c r="A11" s="4" t="s">
        <v>22</v>
      </c>
      <c r="B11" s="4"/>
      <c r="C11" s="4"/>
      <c r="D11" s="4"/>
    </row>
    <row r="12" spans="1:7" x14ac:dyDescent="0.25">
      <c r="A12" s="18" t="s">
        <v>209</v>
      </c>
      <c r="B12" s="19">
        <v>6601</v>
      </c>
      <c r="C12" s="19">
        <v>6819</v>
      </c>
      <c r="D12" s="19">
        <v>6699</v>
      </c>
      <c r="E12" t="s">
        <v>203</v>
      </c>
    </row>
    <row r="13" spans="1:7" ht="15.75" thickBot="1" x14ac:dyDescent="0.3">
      <c r="A13" s="4" t="s">
        <v>24</v>
      </c>
      <c r="B13" s="4"/>
      <c r="C13" s="4"/>
      <c r="D13" s="4"/>
    </row>
    <row r="14" spans="1:7" ht="16.5" thickTop="1" thickBot="1" x14ac:dyDescent="0.3">
      <c r="A14" s="25" t="s">
        <v>25</v>
      </c>
      <c r="B14" s="29">
        <v>22003</v>
      </c>
      <c r="C14" s="29">
        <v>22796</v>
      </c>
      <c r="D14" s="29">
        <v>22374</v>
      </c>
    </row>
    <row r="15" spans="1:7" ht="15.75" thickTop="1" x14ac:dyDescent="0.25">
      <c r="A15" s="4" t="s">
        <v>26</v>
      </c>
      <c r="B15" s="4"/>
      <c r="C15" s="4"/>
      <c r="D15" s="4"/>
    </row>
    <row r="16" spans="1:7" x14ac:dyDescent="0.25">
      <c r="A16" s="18" t="s">
        <v>27</v>
      </c>
      <c r="B16" s="19">
        <v>2442</v>
      </c>
      <c r="C16" s="19">
        <v>2563</v>
      </c>
      <c r="D16" s="19">
        <v>2503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134</v>
      </c>
      <c r="C18" s="18">
        <v>140</v>
      </c>
      <c r="D18" s="18">
        <v>139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160</v>
      </c>
      <c r="C20" s="20">
        <v>171</v>
      </c>
      <c r="D20" s="20">
        <v>167.37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46.01</v>
      </c>
      <c r="C22" s="21">
        <v>47.7</v>
      </c>
      <c r="D22" s="21">
        <v>47.26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3" t="s">
        <v>117</v>
      </c>
      <c r="B24" s="24">
        <v>4035</v>
      </c>
      <c r="C24" s="24">
        <v>4149</v>
      </c>
      <c r="D24" s="24">
        <v>4049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52597</v>
      </c>
      <c r="C26" s="19">
        <v>55194</v>
      </c>
      <c r="D26" s="19">
        <v>53700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23144</v>
      </c>
      <c r="C28" s="19">
        <v>24201</v>
      </c>
      <c r="D28" s="19">
        <v>23564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20.16</v>
      </c>
      <c r="C30" s="21">
        <v>29.95</v>
      </c>
      <c r="D30" s="21">
        <v>23.51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98.66</v>
      </c>
      <c r="C32" s="23">
        <v>100.49</v>
      </c>
      <c r="D32" s="23">
        <v>99.73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1.141</v>
      </c>
      <c r="C34" s="25">
        <v>1.1659999999999999</v>
      </c>
      <c r="D34" s="25">
        <v>1.1519999999999999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157.57</v>
      </c>
      <c r="C36" s="20">
        <v>160.34</v>
      </c>
      <c r="D36" s="20">
        <v>159.01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1.3220000000000001</v>
      </c>
      <c r="C38" s="18">
        <v>1.3420000000000001</v>
      </c>
      <c r="D38" s="18">
        <v>1.3340000000000001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0" t="s">
        <v>110</v>
      </c>
      <c r="B40" s="20">
        <v>0.72499999999999998</v>
      </c>
      <c r="C40" s="20">
        <v>0.73599999999999999</v>
      </c>
      <c r="D40" s="20">
        <v>0.73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84.45</v>
      </c>
      <c r="C42" s="20">
        <v>103.99</v>
      </c>
      <c r="D42" s="20">
        <v>93.5</v>
      </c>
      <c r="E42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88.8</v>
      </c>
      <c r="C44" s="20">
        <v>107.9</v>
      </c>
      <c r="D44" s="20">
        <v>100.21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2.85</v>
      </c>
      <c r="C46" s="19">
        <v>3.39</v>
      </c>
      <c r="D46" s="19">
        <v>3.03</v>
      </c>
    </row>
    <row r="47" spans="1:5" x14ac:dyDescent="0.25">
      <c r="A47" s="4" t="s">
        <v>56</v>
      </c>
      <c r="B47" s="4"/>
      <c r="C47" s="4"/>
      <c r="D47" s="4"/>
    </row>
    <row r="48" spans="1:5" x14ac:dyDescent="0.25">
      <c r="A48" s="20" t="s">
        <v>57</v>
      </c>
      <c r="B48" s="21">
        <v>4974</v>
      </c>
      <c r="C48" s="21">
        <v>5242</v>
      </c>
      <c r="D48" s="21">
        <v>5007</v>
      </c>
      <c r="E48" t="s">
        <v>230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1">
        <v>5.64</v>
      </c>
      <c r="C50" s="21">
        <v>5.95</v>
      </c>
      <c r="D50" s="21">
        <v>5.8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78</v>
      </c>
      <c r="C52" s="23">
        <v>90</v>
      </c>
      <c r="D52" s="23">
        <v>81</v>
      </c>
      <c r="E52" t="s">
        <v>214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390</v>
      </c>
      <c r="C54" s="18">
        <v>410</v>
      </c>
      <c r="D54" s="18">
        <v>400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246</v>
      </c>
      <c r="C56" s="18">
        <v>260</v>
      </c>
      <c r="D56" s="18">
        <v>253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205</v>
      </c>
      <c r="C58" s="18">
        <v>219</v>
      </c>
      <c r="D58" s="18">
        <v>212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610</v>
      </c>
      <c r="C60" s="18">
        <v>648</v>
      </c>
      <c r="D60" s="18">
        <v>627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295</v>
      </c>
      <c r="C62" s="18">
        <v>310</v>
      </c>
      <c r="D62" s="18">
        <v>306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92</v>
      </c>
      <c r="C64" s="20">
        <v>102</v>
      </c>
      <c r="D64" s="20">
        <v>95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386</v>
      </c>
      <c r="C66" s="25">
        <v>407</v>
      </c>
      <c r="D66" s="25">
        <v>396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175</v>
      </c>
      <c r="C68" s="18">
        <v>186</v>
      </c>
      <c r="D68" s="18">
        <v>183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145</v>
      </c>
      <c r="C70" s="19">
        <v>163</v>
      </c>
      <c r="D70" s="19">
        <v>156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67105</v>
      </c>
      <c r="C72" s="19">
        <v>75623</v>
      </c>
      <c r="D72" s="19">
        <v>74116</v>
      </c>
      <c r="E72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152</v>
      </c>
    </row>
    <row r="76" spans="1:6" ht="30" x14ac:dyDescent="0.25">
      <c r="A76" s="31" t="s">
        <v>187</v>
      </c>
    </row>
    <row r="77" spans="1:6" ht="45" x14ac:dyDescent="0.25">
      <c r="A77" s="31" t="s">
        <v>154</v>
      </c>
    </row>
    <row r="78" spans="1:6" ht="30" x14ac:dyDescent="0.25">
      <c r="A78" s="31" t="s">
        <v>188</v>
      </c>
    </row>
    <row r="79" spans="1:6" ht="45" x14ac:dyDescent="0.25">
      <c r="A79" s="31" t="s">
        <v>156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161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A5C0-021C-4387-9E67-C62EC9BA4BF3}">
  <dimension ref="A1:G86"/>
  <sheetViews>
    <sheetView topLeftCell="A56" workbookViewId="0">
      <selection activeCell="A75" sqref="A75:A8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7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7" x14ac:dyDescent="0.25">
      <c r="A2" s="20" t="s">
        <v>108</v>
      </c>
      <c r="B2" s="20">
        <v>4.92</v>
      </c>
      <c r="C2" s="20">
        <v>4.71</v>
      </c>
      <c r="D2" s="20">
        <v>4.84</v>
      </c>
      <c r="G2" t="s">
        <v>216</v>
      </c>
    </row>
    <row r="3" spans="1:7" x14ac:dyDescent="0.25">
      <c r="A3" s="4" t="s">
        <v>14</v>
      </c>
      <c r="B3" s="4"/>
      <c r="C3" s="4"/>
      <c r="D3" s="4"/>
      <c r="G3">
        <v>23.77</v>
      </c>
    </row>
    <row r="4" spans="1:7" x14ac:dyDescent="0.25">
      <c r="A4" s="20" t="s">
        <v>127</v>
      </c>
      <c r="B4" s="20">
        <v>4.32</v>
      </c>
      <c r="C4" s="20">
        <v>4.09</v>
      </c>
      <c r="D4" s="20">
        <v>4.2</v>
      </c>
      <c r="E4" t="s">
        <v>220</v>
      </c>
    </row>
    <row r="5" spans="1:7" x14ac:dyDescent="0.25">
      <c r="A5" s="4" t="s">
        <v>16</v>
      </c>
      <c r="B5" s="4"/>
      <c r="C5" s="4"/>
      <c r="D5" s="4"/>
      <c r="G5" t="s">
        <v>217</v>
      </c>
    </row>
    <row r="6" spans="1:7" x14ac:dyDescent="0.25">
      <c r="A6" s="20" t="s">
        <v>224</v>
      </c>
      <c r="B6" s="20">
        <v>3.76</v>
      </c>
      <c r="C6" s="20">
        <v>3.54</v>
      </c>
      <c r="D6" s="20">
        <v>3.68</v>
      </c>
      <c r="G6" s="33">
        <v>23.12</v>
      </c>
    </row>
    <row r="7" spans="1:7" x14ac:dyDescent="0.25">
      <c r="A7" s="4" t="s">
        <v>18</v>
      </c>
      <c r="B7" s="4"/>
      <c r="C7" s="4"/>
      <c r="D7" s="4"/>
      <c r="G7" t="s">
        <v>218</v>
      </c>
    </row>
    <row r="8" spans="1:7" x14ac:dyDescent="0.25">
      <c r="A8" s="18" t="s">
        <v>208</v>
      </c>
      <c r="B8" s="18">
        <v>79.099999999999994</v>
      </c>
      <c r="C8" s="18">
        <v>80.16</v>
      </c>
      <c r="D8" s="18">
        <v>79.81</v>
      </c>
      <c r="G8" s="33">
        <v>19.399999999999999</v>
      </c>
    </row>
    <row r="9" spans="1:7" x14ac:dyDescent="0.25">
      <c r="A9" s="4" t="s">
        <v>20</v>
      </c>
      <c r="B9" s="4"/>
      <c r="C9" s="4"/>
      <c r="D9" s="4"/>
      <c r="G9" t="s">
        <v>219</v>
      </c>
    </row>
    <row r="10" spans="1:7" x14ac:dyDescent="0.25">
      <c r="A10" s="18" t="s">
        <v>229</v>
      </c>
      <c r="B10" s="18">
        <v>107.5</v>
      </c>
      <c r="C10" s="18">
        <v>110</v>
      </c>
      <c r="D10" s="18">
        <v>109.3</v>
      </c>
      <c r="G10" s="34">
        <v>72.16</v>
      </c>
    </row>
    <row r="11" spans="1:7" x14ac:dyDescent="0.25">
      <c r="A11" s="4" t="s">
        <v>22</v>
      </c>
      <c r="B11" s="4"/>
      <c r="C11" s="4"/>
      <c r="D11" s="4"/>
    </row>
    <row r="12" spans="1:7" x14ac:dyDescent="0.25">
      <c r="A12" s="18" t="s">
        <v>209</v>
      </c>
      <c r="B12" s="19">
        <v>6607</v>
      </c>
      <c r="C12" s="19">
        <v>6813</v>
      </c>
      <c r="D12" s="19">
        <v>6716</v>
      </c>
      <c r="E12" t="s">
        <v>203</v>
      </c>
    </row>
    <row r="13" spans="1:7" ht="15.75" thickBot="1" x14ac:dyDescent="0.3">
      <c r="A13" s="4" t="s">
        <v>24</v>
      </c>
      <c r="B13" s="4"/>
      <c r="C13" s="4"/>
      <c r="D13" s="4"/>
    </row>
    <row r="14" spans="1:7" ht="16.5" thickTop="1" thickBot="1" x14ac:dyDescent="0.3">
      <c r="A14" s="25" t="s">
        <v>25</v>
      </c>
      <c r="B14" s="29">
        <v>22037</v>
      </c>
      <c r="C14" s="29">
        <v>22728</v>
      </c>
      <c r="D14" s="29">
        <v>22479</v>
      </c>
    </row>
    <row r="15" spans="1:7" ht="15.75" thickTop="1" x14ac:dyDescent="0.25">
      <c r="A15" s="4" t="s">
        <v>26</v>
      </c>
      <c r="B15" s="4"/>
      <c r="C15" s="4"/>
      <c r="D15" s="4"/>
    </row>
    <row r="16" spans="1:7" x14ac:dyDescent="0.25">
      <c r="A16" s="18" t="s">
        <v>27</v>
      </c>
      <c r="B16" s="19">
        <v>2456</v>
      </c>
      <c r="C16" s="19">
        <v>2560</v>
      </c>
      <c r="D16" s="19">
        <v>2519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135</v>
      </c>
      <c r="C18" s="18">
        <v>141</v>
      </c>
      <c r="D18" s="18">
        <v>140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162</v>
      </c>
      <c r="C20" s="20">
        <v>173</v>
      </c>
      <c r="D20" s="20">
        <v>170.08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46.02</v>
      </c>
      <c r="C22" s="21">
        <v>47.73</v>
      </c>
      <c r="D22" s="21">
        <v>47.13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3" t="s">
        <v>117</v>
      </c>
      <c r="B24" s="24">
        <v>4034</v>
      </c>
      <c r="C24" s="24">
        <v>4134</v>
      </c>
      <c r="D24" s="24">
        <v>4062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52517</v>
      </c>
      <c r="C26" s="19">
        <v>55600</v>
      </c>
      <c r="D26" s="19">
        <v>55239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23217</v>
      </c>
      <c r="C28" s="19">
        <v>23998</v>
      </c>
      <c r="D28" s="19">
        <v>23730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21.02</v>
      </c>
      <c r="C30" s="21">
        <v>29.71</v>
      </c>
      <c r="D30" s="21">
        <v>22.37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98.6</v>
      </c>
      <c r="C32" s="23">
        <v>100.39</v>
      </c>
      <c r="D32" s="23">
        <v>99.57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1.1399999999999999</v>
      </c>
      <c r="C34" s="25">
        <v>1.1659999999999999</v>
      </c>
      <c r="D34" s="25">
        <v>1.1539999999999999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157.5</v>
      </c>
      <c r="C36" s="20">
        <v>160.31</v>
      </c>
      <c r="D36" s="20">
        <v>159.06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1.321</v>
      </c>
      <c r="C38" s="18">
        <v>1.3420000000000001</v>
      </c>
      <c r="D38" s="18">
        <v>1.335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0" t="s">
        <v>110</v>
      </c>
      <c r="B40" s="20">
        <v>0.72499999999999998</v>
      </c>
      <c r="C40" s="20">
        <v>0.73599999999999999</v>
      </c>
      <c r="D40" s="20">
        <v>0.73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89.26</v>
      </c>
      <c r="C42" s="20">
        <v>102.96</v>
      </c>
      <c r="D42" s="20">
        <v>96.02</v>
      </c>
      <c r="E42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93.04</v>
      </c>
      <c r="C44" s="20">
        <v>108.97</v>
      </c>
      <c r="D44" s="20">
        <v>103.52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</v>
      </c>
      <c r="C46" s="19">
        <v>3.23</v>
      </c>
      <c r="D46" s="19">
        <v>3.04</v>
      </c>
    </row>
    <row r="47" spans="1:5" x14ac:dyDescent="0.25">
      <c r="A47" s="4" t="s">
        <v>56</v>
      </c>
      <c r="B47" s="4"/>
      <c r="C47" s="4"/>
      <c r="D47" s="4"/>
    </row>
    <row r="48" spans="1:5" x14ac:dyDescent="0.25">
      <c r="A48" s="20" t="s">
        <v>57</v>
      </c>
      <c r="B48" s="21">
        <v>4951</v>
      </c>
      <c r="C48" s="21">
        <v>5242</v>
      </c>
      <c r="D48" s="21">
        <v>4988</v>
      </c>
      <c r="E48" t="s">
        <v>230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20" t="s">
        <v>59</v>
      </c>
      <c r="B50" s="21">
        <v>5.63</v>
      </c>
      <c r="C50" s="21">
        <v>5.95</v>
      </c>
      <c r="D50" s="21">
        <v>5.73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3" t="s">
        <v>61</v>
      </c>
      <c r="B52" s="23">
        <v>76</v>
      </c>
      <c r="C52" s="23">
        <v>88</v>
      </c>
      <c r="D52" s="23">
        <v>79</v>
      </c>
      <c r="E52" t="s">
        <v>214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392</v>
      </c>
      <c r="C54" s="18">
        <v>411</v>
      </c>
      <c r="D54" s="18">
        <v>399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247</v>
      </c>
      <c r="C56" s="18">
        <v>261</v>
      </c>
      <c r="D56" s="18">
        <v>254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205</v>
      </c>
      <c r="C58" s="18">
        <v>219</v>
      </c>
      <c r="D58" s="18">
        <v>215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607</v>
      </c>
      <c r="C60" s="18">
        <v>646</v>
      </c>
      <c r="D60" s="18">
        <v>623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296</v>
      </c>
      <c r="C62" s="26">
        <v>315</v>
      </c>
      <c r="D62" s="26">
        <v>311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91</v>
      </c>
      <c r="C64" s="20">
        <v>101</v>
      </c>
      <c r="D64" s="20">
        <v>94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387</v>
      </c>
      <c r="C66" s="25">
        <v>407</v>
      </c>
      <c r="D66" s="25">
        <v>399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176</v>
      </c>
      <c r="C68" s="18">
        <v>186</v>
      </c>
      <c r="D68" s="18">
        <v>182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146</v>
      </c>
      <c r="C70" s="19">
        <v>163</v>
      </c>
      <c r="D70" s="19">
        <v>155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68431</v>
      </c>
      <c r="C72" s="19">
        <v>75950</v>
      </c>
      <c r="D72" s="19">
        <v>73061</v>
      </c>
      <c r="E72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231</v>
      </c>
    </row>
    <row r="76" spans="1:6" ht="30" x14ac:dyDescent="0.25">
      <c r="A76" s="31" t="s">
        <v>187</v>
      </c>
    </row>
    <row r="77" spans="1:6" ht="45" x14ac:dyDescent="0.25">
      <c r="A77" s="31" t="s">
        <v>154</v>
      </c>
    </row>
    <row r="78" spans="1:6" ht="30" x14ac:dyDescent="0.25">
      <c r="A78" s="31" t="s">
        <v>188</v>
      </c>
    </row>
    <row r="79" spans="1:6" ht="45" x14ac:dyDescent="0.25">
      <c r="A79" s="31" t="s">
        <v>156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161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9828-F6C1-439B-A535-5CECF0237B04}">
  <dimension ref="A1:G86"/>
  <sheetViews>
    <sheetView topLeftCell="A24" workbookViewId="0">
      <selection activeCell="A56" sqref="A5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14.140625" bestFit="1" customWidth="1"/>
  </cols>
  <sheetData>
    <row r="1" spans="1:7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7" x14ac:dyDescent="0.25">
      <c r="A2" s="20" t="s">
        <v>108</v>
      </c>
      <c r="B2" s="20">
        <v>4.95</v>
      </c>
      <c r="C2" s="20">
        <v>4.72</v>
      </c>
      <c r="D2" s="20">
        <v>4.8899999999999997</v>
      </c>
      <c r="G2" t="s">
        <v>216</v>
      </c>
    </row>
    <row r="3" spans="1:7" x14ac:dyDescent="0.25">
      <c r="A3" s="4" t="s">
        <v>14</v>
      </c>
      <c r="B3" s="4"/>
      <c r="C3" s="4"/>
      <c r="D3" s="4"/>
      <c r="G3">
        <v>23.77</v>
      </c>
    </row>
    <row r="4" spans="1:7" x14ac:dyDescent="0.25">
      <c r="A4" s="20" t="s">
        <v>127</v>
      </c>
      <c r="B4" s="20">
        <v>4.34</v>
      </c>
      <c r="C4" s="20">
        <v>4.1100000000000003</v>
      </c>
      <c r="D4" s="20">
        <v>4.26</v>
      </c>
      <c r="E4" t="s">
        <v>220</v>
      </c>
    </row>
    <row r="5" spans="1:7" x14ac:dyDescent="0.25">
      <c r="A5" s="4" t="s">
        <v>16</v>
      </c>
      <c r="B5" s="4"/>
      <c r="C5" s="4"/>
      <c r="D5" s="4"/>
      <c r="G5" t="s">
        <v>217</v>
      </c>
    </row>
    <row r="6" spans="1:7" x14ac:dyDescent="0.25">
      <c r="A6" s="20" t="s">
        <v>224</v>
      </c>
      <c r="B6" s="20">
        <v>3.83</v>
      </c>
      <c r="C6" s="20">
        <v>3.56</v>
      </c>
      <c r="D6" s="20">
        <v>3.78</v>
      </c>
      <c r="G6" s="33">
        <v>23.12</v>
      </c>
    </row>
    <row r="7" spans="1:7" x14ac:dyDescent="0.25">
      <c r="A7" s="4" t="s">
        <v>18</v>
      </c>
      <c r="B7" s="4"/>
      <c r="C7" s="4"/>
      <c r="D7" s="4"/>
      <c r="G7" t="s">
        <v>218</v>
      </c>
    </row>
    <row r="8" spans="1:7" x14ac:dyDescent="0.25">
      <c r="A8" s="18" t="s">
        <v>208</v>
      </c>
      <c r="B8" s="18">
        <v>78.91</v>
      </c>
      <c r="C8" s="18">
        <v>80.010000000000005</v>
      </c>
      <c r="D8" s="18">
        <v>79.400000000000006</v>
      </c>
      <c r="G8" s="33">
        <v>19.399999999999999</v>
      </c>
    </row>
    <row r="9" spans="1:7" x14ac:dyDescent="0.25">
      <c r="A9" s="4" t="s">
        <v>20</v>
      </c>
      <c r="B9" s="4"/>
      <c r="C9" s="4"/>
      <c r="D9" s="4"/>
      <c r="G9" t="s">
        <v>219</v>
      </c>
    </row>
    <row r="10" spans="1:7" x14ac:dyDescent="0.25">
      <c r="A10" s="18" t="s">
        <v>229</v>
      </c>
      <c r="B10" s="18">
        <v>107.4</v>
      </c>
      <c r="C10" s="18">
        <v>109.8</v>
      </c>
      <c r="D10" s="18">
        <v>108.7</v>
      </c>
      <c r="G10" s="34">
        <v>72.16</v>
      </c>
    </row>
    <row r="11" spans="1:7" x14ac:dyDescent="0.25">
      <c r="A11" s="4" t="s">
        <v>22</v>
      </c>
      <c r="B11" s="4"/>
      <c r="C11" s="4"/>
      <c r="D11" s="4"/>
    </row>
    <row r="12" spans="1:7" x14ac:dyDescent="0.25">
      <c r="A12" s="18" t="s">
        <v>209</v>
      </c>
      <c r="B12" s="19">
        <v>6576</v>
      </c>
      <c r="C12" s="19">
        <v>6799</v>
      </c>
      <c r="D12" s="19">
        <v>6624</v>
      </c>
      <c r="E12" t="s">
        <v>203</v>
      </c>
      <c r="F12" t="s">
        <v>236</v>
      </c>
    </row>
    <row r="13" spans="1:7" ht="15.75" thickBot="1" x14ac:dyDescent="0.3">
      <c r="A13" s="4" t="s">
        <v>24</v>
      </c>
      <c r="B13" s="4"/>
      <c r="C13" s="4"/>
      <c r="D13" s="4"/>
    </row>
    <row r="14" spans="1:7" ht="16.5" thickTop="1" thickBot="1" x14ac:dyDescent="0.3">
      <c r="A14" s="25" t="s">
        <v>25</v>
      </c>
      <c r="B14" s="29">
        <v>21909</v>
      </c>
      <c r="C14" s="29">
        <v>22687</v>
      </c>
      <c r="D14" s="29">
        <v>22152</v>
      </c>
    </row>
    <row r="15" spans="1:7" ht="15.75" thickTop="1" x14ac:dyDescent="0.25">
      <c r="A15" s="4" t="s">
        <v>26</v>
      </c>
      <c r="B15" s="4"/>
      <c r="C15" s="4"/>
      <c r="D15" s="4"/>
    </row>
    <row r="16" spans="1:7" x14ac:dyDescent="0.25">
      <c r="A16" s="18" t="s">
        <v>27</v>
      </c>
      <c r="B16" s="19">
        <v>2445</v>
      </c>
      <c r="C16" s="19">
        <v>2555</v>
      </c>
      <c r="D16" s="19">
        <v>2478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134</v>
      </c>
      <c r="C18" s="18">
        <v>140</v>
      </c>
      <c r="D18" s="18">
        <v>138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164</v>
      </c>
      <c r="C20" s="20">
        <v>176</v>
      </c>
      <c r="D20" s="20">
        <v>173.36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45.9</v>
      </c>
      <c r="C22" s="21">
        <v>47.55</v>
      </c>
      <c r="D22" s="21">
        <v>46.73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3990</v>
      </c>
      <c r="C24" s="29">
        <v>4123</v>
      </c>
      <c r="D24" s="29">
        <v>4006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52502</v>
      </c>
      <c r="C26" s="19">
        <v>55529</v>
      </c>
      <c r="D26" s="19">
        <v>53372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22911</v>
      </c>
      <c r="C28" s="19">
        <v>23931</v>
      </c>
      <c r="D28" s="19">
        <v>23502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22.17</v>
      </c>
      <c r="C30" s="21">
        <v>29.91</v>
      </c>
      <c r="D30" s="21">
        <v>25.09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98.96</v>
      </c>
      <c r="C32" s="23">
        <v>100.78</v>
      </c>
      <c r="D32" s="23">
        <v>100.11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1.1379999999999999</v>
      </c>
      <c r="C34" s="25">
        <v>1.1639999999999999</v>
      </c>
      <c r="D34" s="25">
        <v>1.147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157.58000000000001</v>
      </c>
      <c r="C36" s="20">
        <v>160.44</v>
      </c>
      <c r="D36" s="20">
        <v>159.1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1.321</v>
      </c>
      <c r="C38" s="18">
        <v>1.341</v>
      </c>
      <c r="D38" s="18">
        <v>1.3280000000000001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6" t="s">
        <v>105</v>
      </c>
      <c r="B40" s="26">
        <v>0.72299999999999998</v>
      </c>
      <c r="C40" s="26">
        <v>0.73299999999999998</v>
      </c>
      <c r="D40" s="26">
        <v>0.72799999999999998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90.98</v>
      </c>
      <c r="C42" s="20">
        <v>102.55</v>
      </c>
      <c r="D42" s="20">
        <v>96.32</v>
      </c>
      <c r="E42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97.74</v>
      </c>
      <c r="C44" s="20">
        <v>110.9</v>
      </c>
      <c r="D44" s="20">
        <v>107.38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26" t="s">
        <v>114</v>
      </c>
      <c r="B46" s="28">
        <v>2.9</v>
      </c>
      <c r="C46" s="28">
        <v>3.43</v>
      </c>
      <c r="D46" s="28">
        <v>3.2</v>
      </c>
    </row>
    <row r="47" spans="1:5" x14ac:dyDescent="0.25">
      <c r="A47" s="4" t="s">
        <v>56</v>
      </c>
      <c r="B47" s="4"/>
      <c r="C47" s="4"/>
      <c r="D47" s="4"/>
    </row>
    <row r="48" spans="1:5" x14ac:dyDescent="0.25">
      <c r="A48" s="20" t="s">
        <v>57</v>
      </c>
      <c r="B48" s="21">
        <v>4701</v>
      </c>
      <c r="C48" s="21">
        <v>5321</v>
      </c>
      <c r="D48" s="21">
        <v>4710</v>
      </c>
      <c r="E48" t="s">
        <v>234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5.4</v>
      </c>
      <c r="C50" s="19">
        <v>5.81</v>
      </c>
      <c r="D50" s="19">
        <v>5.46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7" t="s">
        <v>233</v>
      </c>
      <c r="B52" s="27">
        <v>69</v>
      </c>
      <c r="C52" s="27">
        <v>85</v>
      </c>
      <c r="D52" s="27">
        <v>76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385</v>
      </c>
      <c r="C54" s="18">
        <v>407</v>
      </c>
      <c r="D54" s="18">
        <v>392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244</v>
      </c>
      <c r="C56" s="18">
        <v>260</v>
      </c>
      <c r="D56" s="18">
        <v>250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206</v>
      </c>
      <c r="C58" s="18">
        <v>218</v>
      </c>
      <c r="D58" s="18">
        <v>210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601</v>
      </c>
      <c r="C60" s="18">
        <v>643</v>
      </c>
      <c r="D60" s="18">
        <v>616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297</v>
      </c>
      <c r="C62" s="26">
        <v>313</v>
      </c>
      <c r="D62" s="26">
        <v>308</v>
      </c>
      <c r="E62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91</v>
      </c>
      <c r="C64" s="20">
        <v>100</v>
      </c>
      <c r="D64" s="20">
        <v>95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385</v>
      </c>
      <c r="C66" s="25">
        <v>405</v>
      </c>
      <c r="D66" s="25">
        <v>393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172</v>
      </c>
      <c r="C68" s="18">
        <v>185</v>
      </c>
      <c r="D68" s="18">
        <v>180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145</v>
      </c>
      <c r="C70" s="19">
        <v>162</v>
      </c>
      <c r="D70" s="19">
        <v>153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68007</v>
      </c>
      <c r="C72" s="19">
        <v>74901</v>
      </c>
      <c r="D72" s="19">
        <v>70078</v>
      </c>
      <c r="E72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231</v>
      </c>
    </row>
    <row r="76" spans="1:6" ht="30" x14ac:dyDescent="0.25">
      <c r="A76" s="31" t="s">
        <v>187</v>
      </c>
    </row>
    <row r="77" spans="1:6" ht="45" x14ac:dyDescent="0.25">
      <c r="A77" s="31" t="s">
        <v>154</v>
      </c>
    </row>
    <row r="78" spans="1:6" ht="30" x14ac:dyDescent="0.25">
      <c r="A78" s="31" t="s">
        <v>188</v>
      </c>
    </row>
    <row r="79" spans="1:6" ht="45" x14ac:dyDescent="0.25">
      <c r="A79" s="31" t="s">
        <v>156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161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1A58-BE9A-4781-AF36-71823D7CC5B9}">
  <dimension ref="A1:G86"/>
  <sheetViews>
    <sheetView topLeftCell="A41" workbookViewId="0">
      <selection activeCell="E48" sqref="E48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7" ht="21" x14ac:dyDescent="0.35">
      <c r="A1" s="17" t="s">
        <v>9</v>
      </c>
      <c r="B1" s="17" t="s">
        <v>10</v>
      </c>
      <c r="C1" s="17" t="s">
        <v>11</v>
      </c>
      <c r="D1" s="17" t="s">
        <v>12</v>
      </c>
    </row>
    <row r="2" spans="1:7" x14ac:dyDescent="0.25">
      <c r="A2" s="20" t="s">
        <v>108</v>
      </c>
      <c r="B2" s="20">
        <v>4.97</v>
      </c>
      <c r="C2" s="20">
        <v>4.7300000000000004</v>
      </c>
      <c r="D2" s="20">
        <v>4.84</v>
      </c>
      <c r="G2" t="s">
        <v>216</v>
      </c>
    </row>
    <row r="3" spans="1:7" x14ac:dyDescent="0.25">
      <c r="A3" s="4" t="s">
        <v>14</v>
      </c>
      <c r="B3" s="4"/>
      <c r="C3" s="4"/>
      <c r="D3" s="4"/>
      <c r="G3">
        <v>23.77</v>
      </c>
    </row>
    <row r="4" spans="1:7" x14ac:dyDescent="0.25">
      <c r="A4" s="20" t="s">
        <v>127</v>
      </c>
      <c r="B4" s="20">
        <v>4.33</v>
      </c>
      <c r="C4" s="20">
        <v>4.0999999999999996</v>
      </c>
      <c r="D4" s="20">
        <v>4.25</v>
      </c>
      <c r="E4" s="40" t="s">
        <v>220</v>
      </c>
    </row>
    <row r="5" spans="1:7" x14ac:dyDescent="0.25">
      <c r="A5" s="4" t="s">
        <v>16</v>
      </c>
      <c r="B5" s="4"/>
      <c r="C5" s="4"/>
      <c r="D5" s="4"/>
      <c r="G5" t="s">
        <v>217</v>
      </c>
    </row>
    <row r="6" spans="1:7" x14ac:dyDescent="0.25">
      <c r="A6" s="20" t="s">
        <v>224</v>
      </c>
      <c r="B6" s="20">
        <v>3.86</v>
      </c>
      <c r="C6" s="20">
        <v>3.55</v>
      </c>
      <c r="D6" s="20">
        <v>3.8</v>
      </c>
      <c r="G6" s="33">
        <v>23.12</v>
      </c>
    </row>
    <row r="7" spans="1:7" x14ac:dyDescent="0.25">
      <c r="A7" s="4" t="s">
        <v>18</v>
      </c>
      <c r="B7" s="4"/>
      <c r="C7" s="4"/>
      <c r="D7" s="4"/>
      <c r="G7" t="s">
        <v>218</v>
      </c>
    </row>
    <row r="8" spans="1:7" x14ac:dyDescent="0.25">
      <c r="A8" s="18" t="s">
        <v>208</v>
      </c>
      <c r="B8" s="18">
        <v>78.930000000000007</v>
      </c>
      <c r="C8" s="18">
        <v>80</v>
      </c>
      <c r="D8" s="18">
        <v>79.66</v>
      </c>
      <c r="G8" s="33">
        <v>19.399999999999999</v>
      </c>
    </row>
    <row r="9" spans="1:7" x14ac:dyDescent="0.25">
      <c r="A9" s="4" t="s">
        <v>20</v>
      </c>
      <c r="B9" s="4"/>
      <c r="C9" s="4"/>
      <c r="D9" s="4"/>
      <c r="G9" t="s">
        <v>219</v>
      </c>
    </row>
    <row r="10" spans="1:7" x14ac:dyDescent="0.25">
      <c r="A10" s="18" t="s">
        <v>229</v>
      </c>
      <c r="B10" s="18">
        <v>107.5</v>
      </c>
      <c r="C10" s="18">
        <v>109.9</v>
      </c>
      <c r="D10" s="18">
        <v>109.2</v>
      </c>
      <c r="G10" s="34">
        <v>72.16</v>
      </c>
    </row>
    <row r="11" spans="1:7" x14ac:dyDescent="0.25">
      <c r="A11" s="4" t="s">
        <v>22</v>
      </c>
      <c r="B11" s="4"/>
      <c r="C11" s="4"/>
      <c r="D11" s="4"/>
    </row>
    <row r="12" spans="1:7" x14ac:dyDescent="0.25">
      <c r="A12" s="18" t="s">
        <v>209</v>
      </c>
      <c r="B12" s="19">
        <v>6554</v>
      </c>
      <c r="C12" s="19">
        <v>6786</v>
      </c>
      <c r="D12" s="19">
        <v>6606</v>
      </c>
      <c r="E12" s="40" t="s">
        <v>240</v>
      </c>
    </row>
    <row r="13" spans="1:7" ht="15.75" thickBot="1" x14ac:dyDescent="0.3">
      <c r="A13" s="4" t="s">
        <v>24</v>
      </c>
      <c r="B13" s="4"/>
      <c r="C13" s="4"/>
      <c r="D13" s="4"/>
    </row>
    <row r="14" spans="1:7" ht="16.5" thickTop="1" thickBot="1" x14ac:dyDescent="0.3">
      <c r="A14" s="25" t="s">
        <v>25</v>
      </c>
      <c r="B14" s="29">
        <v>21865</v>
      </c>
      <c r="C14" s="29">
        <v>22634</v>
      </c>
      <c r="D14" s="29">
        <v>22090</v>
      </c>
    </row>
    <row r="15" spans="1:7" ht="15.75" thickTop="1" x14ac:dyDescent="0.25">
      <c r="A15" s="4" t="s">
        <v>26</v>
      </c>
      <c r="B15" s="4"/>
      <c r="C15" s="4"/>
      <c r="D15" s="4"/>
    </row>
    <row r="16" spans="1:7" x14ac:dyDescent="0.25">
      <c r="A16" s="18" t="s">
        <v>27</v>
      </c>
      <c r="B16" s="19">
        <v>2454</v>
      </c>
      <c r="C16" s="19">
        <v>2556</v>
      </c>
      <c r="D16" s="19">
        <v>2494</v>
      </c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134</v>
      </c>
      <c r="C18" s="18">
        <v>140</v>
      </c>
      <c r="D18" s="18">
        <v>138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166</v>
      </c>
      <c r="C20" s="20">
        <v>178</v>
      </c>
      <c r="D20" s="20">
        <v>175.04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45.92</v>
      </c>
      <c r="C22" s="21">
        <v>47.49</v>
      </c>
      <c r="D22" s="21">
        <v>46.54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3925</v>
      </c>
      <c r="C24" s="29">
        <v>4099</v>
      </c>
      <c r="D24" s="29">
        <v>3957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52502</v>
      </c>
      <c r="C26" s="19">
        <v>55529</v>
      </c>
      <c r="D26" s="19">
        <v>53372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22814</v>
      </c>
      <c r="C28" s="19">
        <v>23711</v>
      </c>
      <c r="D28" s="19">
        <v>22839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21.56</v>
      </c>
      <c r="C30" s="21">
        <v>28.95</v>
      </c>
      <c r="D30" s="21">
        <v>24.06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98.58</v>
      </c>
      <c r="C32" s="23">
        <v>100.56</v>
      </c>
      <c r="D32" s="23">
        <v>99.39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</v>
      </c>
      <c r="C34" s="25">
        <v>1.1619999999999999</v>
      </c>
      <c r="D34" s="25">
        <v>1.157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157.66</v>
      </c>
      <c r="C36" s="20">
        <v>160.59</v>
      </c>
      <c r="D36" s="20">
        <v>158.62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1.3220000000000001</v>
      </c>
      <c r="C38" s="18">
        <v>1.3440000000000001</v>
      </c>
      <c r="D38" s="18">
        <v>1.339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26" t="s">
        <v>105</v>
      </c>
      <c r="B40" s="26">
        <v>0.72499999999999998</v>
      </c>
      <c r="C40" s="26">
        <v>0.73599999999999999</v>
      </c>
      <c r="D40" s="26">
        <v>0.72899999999999998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86.22</v>
      </c>
      <c r="C42" s="20">
        <v>102.74</v>
      </c>
      <c r="D42" s="20">
        <v>95.2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99.11</v>
      </c>
      <c r="C44" s="20">
        <v>113.33</v>
      </c>
      <c r="D44" s="20">
        <v>107.81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2.91</v>
      </c>
      <c r="C46" s="19">
        <v>3.41</v>
      </c>
      <c r="D46" s="19">
        <v>3.12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4651</v>
      </c>
      <c r="C48" s="21">
        <v>5349</v>
      </c>
      <c r="D48" s="21">
        <v>4663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5.41</v>
      </c>
      <c r="C50" s="19">
        <v>5.78</v>
      </c>
      <c r="D50" s="19">
        <v>5.49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7" t="s">
        <v>233</v>
      </c>
      <c r="B52" s="27">
        <v>68</v>
      </c>
      <c r="C52" s="27">
        <v>90</v>
      </c>
      <c r="D52" s="27">
        <v>73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385</v>
      </c>
      <c r="C54" s="18">
        <v>406</v>
      </c>
      <c r="D54" s="18">
        <v>389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243</v>
      </c>
      <c r="C56" s="18">
        <v>258</v>
      </c>
      <c r="D56" s="18">
        <v>249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199</v>
      </c>
      <c r="C58" s="18">
        <v>215</v>
      </c>
      <c r="D58" s="18">
        <v>209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593</v>
      </c>
      <c r="C60" s="18">
        <v>633</v>
      </c>
      <c r="D60" s="18">
        <v>607</v>
      </c>
    </row>
    <row r="61" spans="1:5" x14ac:dyDescent="0.25">
      <c r="A61" t="s">
        <v>70</v>
      </c>
    </row>
    <row r="62" spans="1:5" x14ac:dyDescent="0.25">
      <c r="A62" s="26" t="s">
        <v>196</v>
      </c>
      <c r="B62" s="26">
        <v>299</v>
      </c>
      <c r="C62" s="26">
        <v>314</v>
      </c>
      <c r="D62" s="26">
        <v>307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20" t="s">
        <v>201</v>
      </c>
      <c r="B64" s="20">
        <v>90</v>
      </c>
      <c r="C64" s="20">
        <v>100</v>
      </c>
      <c r="D64" s="20">
        <v>92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376</v>
      </c>
      <c r="C66" s="25">
        <v>403</v>
      </c>
      <c r="D66" s="25">
        <v>380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172</v>
      </c>
      <c r="C68" s="18">
        <v>185</v>
      </c>
      <c r="D68" s="18">
        <v>179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145</v>
      </c>
      <c r="C70" s="19">
        <v>163</v>
      </c>
      <c r="D70" s="19">
        <v>156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68311</v>
      </c>
      <c r="C72" s="19">
        <v>74998</v>
      </c>
      <c r="D72" s="19">
        <v>70682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238</v>
      </c>
    </row>
    <row r="78" spans="1:6" ht="30" x14ac:dyDescent="0.25">
      <c r="A78" s="31" t="s">
        <v>188</v>
      </c>
    </row>
    <row r="79" spans="1:6" ht="45" x14ac:dyDescent="0.25">
      <c r="A79" s="31" t="s">
        <v>239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161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EAB4-FE79-4E9F-A754-CD999B1A6A55}">
  <dimension ref="A1:H86"/>
  <sheetViews>
    <sheetView topLeftCell="A41" workbookViewId="0">
      <selection activeCell="G7" sqref="G7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4.99</v>
      </c>
      <c r="C2" s="20">
        <v>4.78</v>
      </c>
      <c r="D2" s="20">
        <v>4.9400000000000004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4.45</v>
      </c>
      <c r="C4" s="20">
        <v>4.16</v>
      </c>
      <c r="D4" s="20">
        <v>4.3899999999999997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4</v>
      </c>
      <c r="C6" s="20">
        <v>3.58</v>
      </c>
      <c r="D6" s="20">
        <v>3.91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78.75</v>
      </c>
      <c r="C8" s="18">
        <v>79.790000000000006</v>
      </c>
      <c r="D8" s="18">
        <v>78.92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107.1</v>
      </c>
      <c r="C10" s="18">
        <v>109.3</v>
      </c>
      <c r="D10" s="18">
        <v>107.9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6452</v>
      </c>
      <c r="C12" s="19">
        <v>6754</v>
      </c>
      <c r="D12" s="19">
        <v>6506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21401</v>
      </c>
      <c r="C14" s="29">
        <v>22545</v>
      </c>
      <c r="D14" s="29">
        <v>21647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2405</v>
      </c>
      <c r="C16" s="19">
        <v>2531</v>
      </c>
      <c r="D16" s="19">
        <v>2438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131</v>
      </c>
      <c r="C18" s="18">
        <v>139</v>
      </c>
      <c r="D18" s="18">
        <v>135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167</v>
      </c>
      <c r="C20" s="20">
        <v>181</v>
      </c>
      <c r="D20" s="20">
        <v>177.12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43.61</v>
      </c>
      <c r="C22" s="21">
        <v>47.72</v>
      </c>
      <c r="D22" s="21">
        <v>44.65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3813</v>
      </c>
      <c r="C24" s="29">
        <v>4095</v>
      </c>
      <c r="D24" s="29">
        <v>3813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51304</v>
      </c>
      <c r="C26" s="19">
        <v>55201</v>
      </c>
      <c r="D26" s="19">
        <v>51515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21901</v>
      </c>
      <c r="C28" s="19">
        <v>23700</v>
      </c>
      <c r="D28" s="19">
        <v>22380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22.79</v>
      </c>
      <c r="C30" s="21">
        <v>29.49</v>
      </c>
      <c r="D30" s="21">
        <v>26.78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99.01</v>
      </c>
      <c r="C32" s="23">
        <v>100.74</v>
      </c>
      <c r="D32" s="23">
        <v>99.41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</v>
      </c>
      <c r="C34" s="25">
        <v>1.1599999999999999</v>
      </c>
      <c r="D34" s="25">
        <v>1.1579999999999999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157.93</v>
      </c>
      <c r="C36" s="20">
        <v>160.65</v>
      </c>
      <c r="D36" s="20">
        <v>158.68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</v>
      </c>
      <c r="C38" s="18">
        <v>1.341</v>
      </c>
      <c r="D38" s="18">
        <v>1.3380000000000001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0.72299999999999998</v>
      </c>
      <c r="C40" s="18">
        <v>0.73199999999999998</v>
      </c>
      <c r="D40" s="18">
        <v>0.72799999999999998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91.87</v>
      </c>
      <c r="C42" s="20">
        <v>103.67</v>
      </c>
      <c r="D42" s="20">
        <v>98.09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100.37</v>
      </c>
      <c r="C44" s="20">
        <v>117.04</v>
      </c>
      <c r="D44" s="20">
        <v>112.5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2.9</v>
      </c>
      <c r="C46" s="19">
        <v>3.41</v>
      </c>
      <c r="D46" s="19">
        <v>3.1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4249</v>
      </c>
      <c r="C48" s="21">
        <v>5391</v>
      </c>
      <c r="D48" s="21">
        <v>4406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5.22</v>
      </c>
      <c r="C50" s="19">
        <v>5.73</v>
      </c>
      <c r="D50" s="19">
        <v>5.27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5" t="s">
        <v>242</v>
      </c>
      <c r="B52" s="25">
        <v>60</v>
      </c>
      <c r="C52" s="25">
        <v>82</v>
      </c>
      <c r="D52" s="25">
        <v>68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378</v>
      </c>
      <c r="C54" s="18">
        <v>404</v>
      </c>
      <c r="D54" s="18">
        <v>382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242</v>
      </c>
      <c r="C56" s="18">
        <v>257</v>
      </c>
      <c r="D56" s="18">
        <v>248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198</v>
      </c>
      <c r="C58" s="18">
        <v>215</v>
      </c>
      <c r="D58" s="18">
        <v>205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584</v>
      </c>
      <c r="C60" s="18">
        <v>626</v>
      </c>
      <c r="D60" s="18">
        <v>594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295</v>
      </c>
      <c r="C62" s="18">
        <v>310</v>
      </c>
      <c r="D62" s="18">
        <v>301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87</v>
      </c>
      <c r="C64" s="18">
        <v>96</v>
      </c>
      <c r="D64" s="18">
        <v>92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360</v>
      </c>
      <c r="C66" s="25">
        <v>394</v>
      </c>
      <c r="D66" s="25">
        <v>368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168</v>
      </c>
      <c r="C68" s="18">
        <v>182</v>
      </c>
      <c r="D68" s="18">
        <v>173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138</v>
      </c>
      <c r="C70" s="19">
        <v>162</v>
      </c>
      <c r="D70" s="19">
        <v>150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66105</v>
      </c>
      <c r="C72" s="19">
        <v>74902</v>
      </c>
      <c r="D72" s="19">
        <v>70601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72E1-9D31-424B-B19F-6B0B4030AF09}">
  <dimension ref="A1:H86"/>
  <sheetViews>
    <sheetView topLeftCell="A44" workbookViewId="0">
      <selection activeCell="E54" sqref="E54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4.9800000000000004</v>
      </c>
      <c r="C2" s="20">
        <v>4.82</v>
      </c>
      <c r="D2" s="20">
        <v>4.92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4.4000000000000004</v>
      </c>
      <c r="C4" s="20">
        <v>4.18</v>
      </c>
      <c r="D4" s="20">
        <v>4.3499999999999996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3.93</v>
      </c>
      <c r="C6" s="20">
        <v>3.63</v>
      </c>
      <c r="D6" s="20">
        <v>3.86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78.8</v>
      </c>
      <c r="C8" s="18">
        <v>79.86</v>
      </c>
      <c r="D8" s="18">
        <v>79.44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107.4</v>
      </c>
      <c r="C10" s="18">
        <v>109.4</v>
      </c>
      <c r="D10" s="18">
        <v>108.6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6476</v>
      </c>
      <c r="C12" s="19">
        <v>6717</v>
      </c>
      <c r="D12" s="19">
        <v>6581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21594</v>
      </c>
      <c r="C14" s="29">
        <v>22511</v>
      </c>
      <c r="D14" s="29">
        <v>21946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2441</v>
      </c>
      <c r="C16" s="19">
        <v>2539</v>
      </c>
      <c r="D16" s="19">
        <v>2494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133</v>
      </c>
      <c r="C18" s="18">
        <v>140</v>
      </c>
      <c r="D18" s="18">
        <v>137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169</v>
      </c>
      <c r="C20" s="20">
        <v>181</v>
      </c>
      <c r="D20" s="20">
        <v>174.87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43.14</v>
      </c>
      <c r="C22" s="21">
        <v>47.49</v>
      </c>
      <c r="D22" s="21">
        <v>44.78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3810</v>
      </c>
      <c r="C24" s="29">
        <v>4036</v>
      </c>
      <c r="D24" s="29">
        <v>3881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51500</v>
      </c>
      <c r="C26" s="19">
        <v>54712</v>
      </c>
      <c r="D26" s="19">
        <v>52252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22292</v>
      </c>
      <c r="C28" s="19">
        <v>23698</v>
      </c>
      <c r="D28" s="19">
        <v>22653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22.37</v>
      </c>
      <c r="C30" s="21">
        <v>28.91</v>
      </c>
      <c r="D30" s="21">
        <v>26.15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98.9</v>
      </c>
      <c r="C32" s="23">
        <v>100.51</v>
      </c>
      <c r="D32" s="23">
        <v>99.28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1.1399999999999999</v>
      </c>
      <c r="C34" s="25">
        <v>1.161</v>
      </c>
      <c r="D34" s="25">
        <v>1.1599999999999999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157.9</v>
      </c>
      <c r="C36" s="20">
        <v>160.34</v>
      </c>
      <c r="D36" s="20">
        <v>158.69999999999999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</v>
      </c>
      <c r="C38" s="18">
        <v>1.3440000000000001</v>
      </c>
      <c r="D38" s="18">
        <v>1.341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0.72299999999999998</v>
      </c>
      <c r="C40" s="18">
        <v>0.73099999999999998</v>
      </c>
      <c r="D40" s="18">
        <v>0.72699999999999998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88.01</v>
      </c>
      <c r="C42" s="20">
        <v>102.26</v>
      </c>
      <c r="D42" s="20">
        <v>88.87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93.19</v>
      </c>
      <c r="C44" s="20">
        <v>114.61</v>
      </c>
      <c r="D44" s="20">
        <v>100.49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2.81</v>
      </c>
      <c r="C46" s="19">
        <v>3.23</v>
      </c>
      <c r="D46" s="19">
        <v>2.92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4331</v>
      </c>
      <c r="C48" s="21">
        <v>5367</v>
      </c>
      <c r="D48" s="21">
        <v>4425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5.24</v>
      </c>
      <c r="C50" s="19">
        <v>5.72</v>
      </c>
      <c r="D50" s="19">
        <v>5.45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5" t="s">
        <v>242</v>
      </c>
      <c r="B52" s="25">
        <v>63</v>
      </c>
      <c r="C52" s="25">
        <v>81</v>
      </c>
      <c r="D52" s="25">
        <v>69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376</v>
      </c>
      <c r="C54" s="18">
        <v>402</v>
      </c>
      <c r="D54" s="18">
        <v>383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243</v>
      </c>
      <c r="C56" s="18">
        <v>258</v>
      </c>
      <c r="D56" s="18">
        <v>251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201</v>
      </c>
      <c r="C58" s="18">
        <v>216</v>
      </c>
      <c r="D58" s="18">
        <v>210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582</v>
      </c>
      <c r="C60" s="18">
        <v>628</v>
      </c>
      <c r="D60" s="18">
        <v>604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296</v>
      </c>
      <c r="C62" s="18">
        <v>310</v>
      </c>
      <c r="D62" s="18">
        <v>302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89</v>
      </c>
      <c r="C64" s="18">
        <v>96</v>
      </c>
      <c r="D64" s="18">
        <v>93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364</v>
      </c>
      <c r="C66" s="25">
        <v>399</v>
      </c>
      <c r="D66" s="25">
        <v>381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170</v>
      </c>
      <c r="C68" s="18">
        <v>182</v>
      </c>
      <c r="D68" s="18">
        <v>176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142</v>
      </c>
      <c r="C70" s="19">
        <v>163</v>
      </c>
      <c r="D70" s="19">
        <v>154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66624</v>
      </c>
      <c r="C72" s="19">
        <v>75001</v>
      </c>
      <c r="D72" s="19">
        <v>71246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FCCF-8BC7-48D0-9E78-BA579C3195E3}">
  <dimension ref="A1:H86"/>
  <sheetViews>
    <sheetView topLeftCell="A12" workbookViewId="0">
      <selection activeCell="C23" sqref="C23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4.9800000000000004</v>
      </c>
      <c r="C2" s="20">
        <v>4.83</v>
      </c>
      <c r="D2" s="20">
        <v>4.93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4.43</v>
      </c>
      <c r="C4" s="20">
        <v>4.2</v>
      </c>
      <c r="D4" s="20">
        <v>4.37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3.98</v>
      </c>
      <c r="C6" s="20">
        <v>3.66</v>
      </c>
      <c r="D6" s="20">
        <v>3.92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78.819999999999993</v>
      </c>
      <c r="C8" s="18">
        <v>79.83</v>
      </c>
      <c r="D8" s="18">
        <v>79.17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107.5</v>
      </c>
      <c r="C10" s="18">
        <v>109.6</v>
      </c>
      <c r="D10" s="18">
        <v>108.3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6483</v>
      </c>
      <c r="C12" s="19">
        <v>6727</v>
      </c>
      <c r="D12" s="19">
        <v>6556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21556</v>
      </c>
      <c r="C14" s="29">
        <v>22486</v>
      </c>
      <c r="D14" s="29">
        <v>21761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2434</v>
      </c>
      <c r="C16" s="19">
        <v>2528</v>
      </c>
      <c r="D16" s="19">
        <v>2505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134</v>
      </c>
      <c r="C18" s="18">
        <v>139</v>
      </c>
      <c r="D18" s="18">
        <v>136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170</v>
      </c>
      <c r="C20" s="20">
        <v>182</v>
      </c>
      <c r="D20" s="20">
        <v>180.24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43.93</v>
      </c>
      <c r="C22" s="21">
        <v>47.4</v>
      </c>
      <c r="D22" s="21">
        <v>45.09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3801</v>
      </c>
      <c r="C24" s="29">
        <v>4032</v>
      </c>
      <c r="D24" s="29">
        <v>3931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51400</v>
      </c>
      <c r="C26" s="19">
        <v>54577</v>
      </c>
      <c r="D26" s="19">
        <v>53749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22170</v>
      </c>
      <c r="C28" s="19">
        <v>23723</v>
      </c>
      <c r="D28" s="19">
        <v>22636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22.35</v>
      </c>
      <c r="C30" s="21">
        <v>29.09</v>
      </c>
      <c r="D30" s="21">
        <v>26.95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98.61</v>
      </c>
      <c r="C32" s="23">
        <v>100.52</v>
      </c>
      <c r="D32" s="23">
        <v>99.27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1.141</v>
      </c>
      <c r="C34" s="25">
        <v>1.1619999999999999</v>
      </c>
      <c r="D34" s="25">
        <v>1.1599999999999999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157.97999999999999</v>
      </c>
      <c r="C36" s="20">
        <v>160.19999999999999</v>
      </c>
      <c r="D36" s="20">
        <v>158.86000000000001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1.321</v>
      </c>
      <c r="C38" s="18">
        <v>1.345</v>
      </c>
      <c r="D38" s="18">
        <v>1.341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0.72199999999999998</v>
      </c>
      <c r="C40" s="18">
        <v>0.73</v>
      </c>
      <c r="D40" s="18">
        <v>0.72399999999999998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86.24</v>
      </c>
      <c r="C42" s="20">
        <v>102.08</v>
      </c>
      <c r="D42" s="20">
        <v>88.39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94.05</v>
      </c>
      <c r="C44" s="20">
        <v>112.98</v>
      </c>
      <c r="D44" s="20">
        <v>100.04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</v>
      </c>
      <c r="C46" s="19">
        <v>3.21</v>
      </c>
      <c r="D46" s="19">
        <v>2.9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4401</v>
      </c>
      <c r="C48" s="21">
        <v>5301</v>
      </c>
      <c r="D48" s="21">
        <v>4584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5.24</v>
      </c>
      <c r="C50" s="19">
        <v>5.71</v>
      </c>
      <c r="D50" s="19">
        <v>5.5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5" t="s">
        <v>242</v>
      </c>
      <c r="B52" s="25">
        <v>64</v>
      </c>
      <c r="C52" s="25">
        <v>80</v>
      </c>
      <c r="D52" s="25">
        <v>72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369</v>
      </c>
      <c r="C54" s="18">
        <v>392</v>
      </c>
      <c r="D54" s="18">
        <v>373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245</v>
      </c>
      <c r="C56" s="18">
        <v>257</v>
      </c>
      <c r="D56" s="18">
        <v>252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202</v>
      </c>
      <c r="C58" s="18">
        <v>216</v>
      </c>
      <c r="D58" s="18">
        <v>207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582</v>
      </c>
      <c r="C60" s="18">
        <v>627</v>
      </c>
      <c r="D60" s="18">
        <v>593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285</v>
      </c>
      <c r="C62" s="18">
        <v>303</v>
      </c>
      <c r="D62" s="18">
        <v>290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88</v>
      </c>
      <c r="C64" s="18">
        <v>95</v>
      </c>
      <c r="D64" s="18">
        <v>91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366</v>
      </c>
      <c r="C66" s="25">
        <v>398</v>
      </c>
      <c r="D66" s="25">
        <v>383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170</v>
      </c>
      <c r="C68" s="18">
        <v>181</v>
      </c>
      <c r="D68" s="18">
        <v>175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143</v>
      </c>
      <c r="C70" s="19">
        <v>160</v>
      </c>
      <c r="D70" s="19">
        <v>147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67008</v>
      </c>
      <c r="C72" s="19">
        <v>73993</v>
      </c>
      <c r="D72" s="19">
        <v>71832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5850-9E78-4B10-954F-D403B7D3E7E3}">
  <dimension ref="A1:H86"/>
  <sheetViews>
    <sheetView topLeftCell="A51" workbookViewId="0">
      <selection activeCell="D14" sqref="D14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4.97</v>
      </c>
      <c r="C2" s="20">
        <v>4.84</v>
      </c>
      <c r="D2" s="20">
        <v>4.91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4.4400000000000004</v>
      </c>
      <c r="C4" s="20">
        <v>4.22</v>
      </c>
      <c r="D4" s="20">
        <v>4.34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4</v>
      </c>
      <c r="C6" s="20">
        <v>3.67</v>
      </c>
      <c r="D6" s="20">
        <v>3.9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78.8</v>
      </c>
      <c r="C8" s="18">
        <v>79.81</v>
      </c>
      <c r="D8" s="18">
        <v>79.42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107.3</v>
      </c>
      <c r="C10" s="18">
        <v>109.4</v>
      </c>
      <c r="D10" s="18">
        <v>108.7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6478</v>
      </c>
      <c r="C12" s="19">
        <v>6715</v>
      </c>
      <c r="D12" s="19">
        <v>6591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21508</v>
      </c>
      <c r="C14" s="29">
        <v>22551</v>
      </c>
      <c r="D14" s="29">
        <v>21929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2442</v>
      </c>
      <c r="C16" s="19">
        <v>2546</v>
      </c>
      <c r="D16" s="19">
        <v>2536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133</v>
      </c>
      <c r="C18" s="18">
        <v>139</v>
      </c>
      <c r="D18" s="18">
        <v>137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173</v>
      </c>
      <c r="C20" s="20">
        <v>185</v>
      </c>
      <c r="D20" s="20">
        <v>181.62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44.04</v>
      </c>
      <c r="C22" s="21">
        <v>47.45</v>
      </c>
      <c r="D22" s="21">
        <v>45.25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3800</v>
      </c>
      <c r="C24" s="29">
        <v>4021</v>
      </c>
      <c r="D24" s="29">
        <v>3889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51413</v>
      </c>
      <c r="C26" s="19">
        <v>54491</v>
      </c>
      <c r="D26" s="19">
        <v>53603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22107</v>
      </c>
      <c r="C28" s="19">
        <v>23179</v>
      </c>
      <c r="D28" s="19">
        <v>22957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23.35</v>
      </c>
      <c r="C30" s="21">
        <v>28.94</v>
      </c>
      <c r="D30" s="21">
        <v>25.33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99.01</v>
      </c>
      <c r="C32" s="23">
        <v>100.36</v>
      </c>
      <c r="D32" s="23">
        <v>99.79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1.1419999999999999</v>
      </c>
      <c r="C34" s="25">
        <v>1.1619999999999999</v>
      </c>
      <c r="D34" s="25">
        <v>1.1539999999999999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157.9</v>
      </c>
      <c r="C36" s="20">
        <v>160.29</v>
      </c>
      <c r="D36" s="20">
        <v>159.57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1.3240000000000001</v>
      </c>
      <c r="C38" s="18">
        <v>1.347</v>
      </c>
      <c r="D38" s="18">
        <v>1.3340000000000001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</v>
      </c>
      <c r="C40" s="18">
        <v>0.73</v>
      </c>
      <c r="D40" s="18">
        <v>0.72199999999999998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87.52</v>
      </c>
      <c r="C42" s="20">
        <v>101.33</v>
      </c>
      <c r="D42" s="20">
        <v>90.32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97.02</v>
      </c>
      <c r="C44" s="20">
        <v>112.48</v>
      </c>
      <c r="D44" s="20">
        <v>103.13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2.81</v>
      </c>
      <c r="C46" s="19">
        <v>3.22</v>
      </c>
      <c r="D46" s="19">
        <v>2.96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4323</v>
      </c>
      <c r="C48" s="21">
        <v>5199</v>
      </c>
      <c r="D48" s="21">
        <v>4446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5.21</v>
      </c>
      <c r="C50" s="19">
        <v>5.69</v>
      </c>
      <c r="D50" s="19">
        <v>5.49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5" t="s">
        <v>242</v>
      </c>
      <c r="B52" s="25">
        <v>64</v>
      </c>
      <c r="C52" s="25">
        <v>78</v>
      </c>
      <c r="D52" s="25">
        <v>71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361</v>
      </c>
      <c r="C54" s="18">
        <v>390</v>
      </c>
      <c r="D54" s="18">
        <v>371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245</v>
      </c>
      <c r="C56" s="18">
        <v>255</v>
      </c>
      <c r="D56" s="18">
        <v>253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201</v>
      </c>
      <c r="C58" s="18">
        <v>215</v>
      </c>
      <c r="D58" s="18">
        <v>212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581</v>
      </c>
      <c r="C60" s="18">
        <v>626</v>
      </c>
      <c r="D60" s="18">
        <v>595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285</v>
      </c>
      <c r="C62" s="18">
        <v>301</v>
      </c>
      <c r="D62" s="18">
        <v>291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89</v>
      </c>
      <c r="C64" s="18">
        <v>94</v>
      </c>
      <c r="D64" s="18">
        <v>92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367</v>
      </c>
      <c r="C66" s="25">
        <v>397</v>
      </c>
      <c r="D66" s="25">
        <v>386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171</v>
      </c>
      <c r="C68" s="18">
        <v>181</v>
      </c>
      <c r="D68" s="18">
        <v>179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141</v>
      </c>
      <c r="C70" s="19">
        <v>156</v>
      </c>
      <c r="D70" s="19">
        <v>146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67113</v>
      </c>
      <c r="C72" s="19">
        <v>72641</v>
      </c>
      <c r="D72" s="19">
        <v>69375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562B-E6E6-409F-B7EC-1C4A767ECC7E}">
  <dimension ref="A1:H86"/>
  <sheetViews>
    <sheetView topLeftCell="A33" workbookViewId="0">
      <selection activeCell="C19" sqref="C19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4.99</v>
      </c>
      <c r="C2" s="20">
        <v>4.8499999999999996</v>
      </c>
      <c r="D2" s="20">
        <v>4.9400000000000004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4.4800000000000004</v>
      </c>
      <c r="C4" s="20">
        <v>4.2300000000000004</v>
      </c>
      <c r="D4" s="20">
        <v>4.42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4.0599999999999996</v>
      </c>
      <c r="C6" s="20">
        <v>3.7</v>
      </c>
      <c r="D6" s="20">
        <v>4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78.75</v>
      </c>
      <c r="C8" s="18">
        <v>79.73</v>
      </c>
      <c r="D8" s="18">
        <v>78.92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107.2</v>
      </c>
      <c r="C10" s="18">
        <v>109.3</v>
      </c>
      <c r="D10" s="18">
        <v>107.9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6426</v>
      </c>
      <c r="C12" s="19">
        <v>6701</v>
      </c>
      <c r="D12" s="19">
        <v>6477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21291</v>
      </c>
      <c r="C14" s="29">
        <v>22348</v>
      </c>
      <c r="D14" s="29">
        <v>21408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2433</v>
      </c>
      <c r="C16" s="19">
        <v>2537</v>
      </c>
      <c r="D16" s="19">
        <v>2493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130</v>
      </c>
      <c r="C18" s="18">
        <v>137</v>
      </c>
      <c r="D18" s="18">
        <v>133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175</v>
      </c>
      <c r="C20" s="20">
        <v>188</v>
      </c>
      <c r="D20" s="20">
        <v>185.32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44</v>
      </c>
      <c r="C22" s="21">
        <v>47.41</v>
      </c>
      <c r="D22" s="21">
        <v>45.33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3780</v>
      </c>
      <c r="C24" s="29">
        <v>4016</v>
      </c>
      <c r="D24" s="29">
        <v>3913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51438</v>
      </c>
      <c r="C26" s="19">
        <v>54417</v>
      </c>
      <c r="D26" s="19">
        <v>53373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22003</v>
      </c>
      <c r="C28" s="19">
        <v>23006</v>
      </c>
      <c r="D28" s="19">
        <v>22612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23.7</v>
      </c>
      <c r="C30" s="21">
        <v>29.44</v>
      </c>
      <c r="D30" s="21">
        <v>27.44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99.03</v>
      </c>
      <c r="C32" s="23">
        <v>100.36</v>
      </c>
      <c r="D32" s="23">
        <v>100.06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1.1439999999999999</v>
      </c>
      <c r="C34" s="25">
        <v>1.161</v>
      </c>
      <c r="D34" s="25">
        <v>1.151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158.1</v>
      </c>
      <c r="C36" s="20">
        <v>160.56</v>
      </c>
      <c r="D36" s="20">
        <v>159.85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1.325</v>
      </c>
      <c r="C38" s="18">
        <v>1.345</v>
      </c>
      <c r="D38" s="18">
        <v>1.33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</v>
      </c>
      <c r="C40" s="18">
        <v>0.72899999999999998</v>
      </c>
      <c r="D40" s="18">
        <v>0.72099999999999997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88.13</v>
      </c>
      <c r="C42" s="20">
        <v>100.83</v>
      </c>
      <c r="D42" s="20">
        <v>93.79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97.55</v>
      </c>
      <c r="C44" s="20">
        <v>112.99</v>
      </c>
      <c r="D44" s="20">
        <v>107.1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2.83</v>
      </c>
      <c r="C46" s="19">
        <v>3.2</v>
      </c>
      <c r="D46" s="19">
        <v>2.97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4278</v>
      </c>
      <c r="C48" s="21">
        <v>4938</v>
      </c>
      <c r="D48" s="21">
        <v>4415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5.2</v>
      </c>
      <c r="C50" s="19">
        <v>5.69</v>
      </c>
      <c r="D50" s="19">
        <v>5.46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5" t="s">
        <v>242</v>
      </c>
      <c r="B52" s="25">
        <v>59</v>
      </c>
      <c r="C52" s="25">
        <v>71</v>
      </c>
      <c r="D52" s="25">
        <v>69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358</v>
      </c>
      <c r="C54" s="18">
        <v>384</v>
      </c>
      <c r="D54" s="18">
        <v>366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245</v>
      </c>
      <c r="C56" s="18">
        <v>255</v>
      </c>
      <c r="D56" s="18">
        <v>253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201</v>
      </c>
      <c r="C58" s="18">
        <v>214</v>
      </c>
      <c r="D58" s="18">
        <v>208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540</v>
      </c>
      <c r="C60" s="18">
        <v>601</v>
      </c>
      <c r="D60" s="18">
        <v>548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275</v>
      </c>
      <c r="C62" s="18">
        <v>299</v>
      </c>
      <c r="D62" s="18">
        <v>281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88</v>
      </c>
      <c r="C64" s="18">
        <v>95</v>
      </c>
      <c r="D64" s="18">
        <v>93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361</v>
      </c>
      <c r="C66" s="25">
        <v>387</v>
      </c>
      <c r="D66" s="25">
        <v>372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166</v>
      </c>
      <c r="C68" s="18">
        <v>179</v>
      </c>
      <c r="D68" s="18">
        <v>171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137</v>
      </c>
      <c r="C70" s="19">
        <v>154</v>
      </c>
      <c r="D70" s="19">
        <v>143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66990</v>
      </c>
      <c r="C72" s="19">
        <v>72006</v>
      </c>
      <c r="D72" s="19">
        <v>67890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6A78-790A-4F04-81D1-AAAC044DFED6}">
  <dimension ref="A1:H86"/>
  <sheetViews>
    <sheetView topLeftCell="B41" workbookViewId="0">
      <selection activeCell="E56" sqref="E5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4.8499999999999996</v>
      </c>
      <c r="C2" s="20">
        <v>5.01</v>
      </c>
      <c r="D2" s="20">
        <v>4.9800000000000004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4.24</v>
      </c>
      <c r="C4" s="20">
        <v>4.5</v>
      </c>
      <c r="D4" s="20">
        <v>4.4400000000000004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3.72</v>
      </c>
      <c r="C6" s="20">
        <v>4.05</v>
      </c>
      <c r="D6" s="20">
        <v>3.88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78.48</v>
      </c>
      <c r="C8" s="18">
        <v>79.67</v>
      </c>
      <c r="D8" s="18">
        <v>78.72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107.2</v>
      </c>
      <c r="C10" s="18">
        <v>109.2</v>
      </c>
      <c r="D10" s="18">
        <v>107.6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6341</v>
      </c>
      <c r="C12" s="19">
        <v>6631</v>
      </c>
      <c r="D12" s="19">
        <v>6369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20908</v>
      </c>
      <c r="C14" s="29">
        <v>22235</v>
      </c>
      <c r="D14" s="29">
        <v>20948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2428</v>
      </c>
      <c r="C16" s="19">
        <v>2520</v>
      </c>
      <c r="D16" s="19">
        <v>2450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127</v>
      </c>
      <c r="C18" s="18">
        <v>137</v>
      </c>
      <c r="D18" s="18">
        <v>130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178</v>
      </c>
      <c r="C20" s="20">
        <v>191</v>
      </c>
      <c r="D20" s="20">
        <v>188.18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44.34</v>
      </c>
      <c r="C22" s="21">
        <v>47.16</v>
      </c>
      <c r="D22" s="21">
        <v>45.59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3799</v>
      </c>
      <c r="C24" s="29">
        <v>4016</v>
      </c>
      <c r="D24" s="29">
        <v>3923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51406</v>
      </c>
      <c r="C26" s="19">
        <v>53363</v>
      </c>
      <c r="D26" s="19">
        <v>51886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21903</v>
      </c>
      <c r="C28" s="19">
        <v>23569</v>
      </c>
      <c r="D28" s="19">
        <v>22297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24.24</v>
      </c>
      <c r="C30" s="21">
        <v>31.81</v>
      </c>
      <c r="D30" s="21">
        <v>30.9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99.19</v>
      </c>
      <c r="C32" s="23">
        <v>100.69</v>
      </c>
      <c r="D32" s="23">
        <v>100.13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1.1399999999999999</v>
      </c>
      <c r="C34" s="25">
        <v>1.161</v>
      </c>
      <c r="D34" s="25">
        <v>1.149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158.04</v>
      </c>
      <c r="C36" s="20">
        <v>160.79</v>
      </c>
      <c r="D36" s="20">
        <v>159.62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1.32</v>
      </c>
      <c r="C38" s="18">
        <v>1.341</v>
      </c>
      <c r="D38" s="18">
        <v>1.323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</v>
      </c>
      <c r="C40" s="18">
        <v>0.72899999999999998</v>
      </c>
      <c r="D40" s="18">
        <v>0.71899999999999997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88.16</v>
      </c>
      <c r="C42" s="20">
        <v>102.99</v>
      </c>
      <c r="D42" s="20">
        <v>101.59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99.94</v>
      </c>
      <c r="C44" s="20">
        <v>116.81</v>
      </c>
      <c r="D44" s="20">
        <v>108.35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2.8</v>
      </c>
      <c r="C46" s="19">
        <v>3.2</v>
      </c>
      <c r="D46" s="19">
        <v>2.92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4379</v>
      </c>
      <c r="C48" s="21">
        <v>4812</v>
      </c>
      <c r="D48" s="21">
        <v>4559</v>
      </c>
      <c r="E48" s="40" t="s">
        <v>241</v>
      </c>
    </row>
    <row r="49" spans="1:5" x14ac:dyDescent="0.25">
      <c r="A49" s="4" t="s">
        <v>58</v>
      </c>
      <c r="B49" s="4"/>
      <c r="C49" s="4"/>
      <c r="D49" s="4"/>
    </row>
    <row r="50" spans="1:5" x14ac:dyDescent="0.25">
      <c r="A50" s="18" t="s">
        <v>232</v>
      </c>
      <c r="B50" s="19">
        <v>5.22</v>
      </c>
      <c r="C50" s="19">
        <v>5.66</v>
      </c>
      <c r="D50" s="19">
        <v>5.51</v>
      </c>
    </row>
    <row r="51" spans="1:5" ht="15.75" thickBot="1" x14ac:dyDescent="0.3">
      <c r="A51" s="4" t="s">
        <v>185</v>
      </c>
      <c r="B51" s="4"/>
      <c r="C51" s="4"/>
      <c r="D51" s="4"/>
    </row>
    <row r="52" spans="1:5" ht="16.5" thickTop="1" thickBot="1" x14ac:dyDescent="0.3">
      <c r="A52" s="25" t="s">
        <v>242</v>
      </c>
      <c r="B52" s="25">
        <v>62</v>
      </c>
      <c r="C52" s="25">
        <v>76</v>
      </c>
      <c r="D52" s="25">
        <v>71</v>
      </c>
      <c r="E52" t="s">
        <v>235</v>
      </c>
    </row>
    <row r="53" spans="1:5" ht="15.75" thickTop="1" x14ac:dyDescent="0.25">
      <c r="A53" s="4" t="s">
        <v>62</v>
      </c>
      <c r="B53" s="4"/>
      <c r="C53" s="4"/>
      <c r="D53" s="4"/>
    </row>
    <row r="54" spans="1:5" x14ac:dyDescent="0.25">
      <c r="A54" s="18" t="s">
        <v>63</v>
      </c>
      <c r="B54" s="18">
        <v>351</v>
      </c>
      <c r="C54" s="18">
        <v>392</v>
      </c>
      <c r="D54" s="18">
        <v>357</v>
      </c>
    </row>
    <row r="55" spans="1:5" x14ac:dyDescent="0.25">
      <c r="A55" s="4" t="s">
        <v>64</v>
      </c>
      <c r="B55" s="4"/>
      <c r="C55" s="4"/>
      <c r="D55" s="4"/>
    </row>
    <row r="56" spans="1:5" x14ac:dyDescent="0.25">
      <c r="A56" s="18" t="s">
        <v>121</v>
      </c>
      <c r="B56" s="18">
        <v>245</v>
      </c>
      <c r="C56" s="18">
        <v>254</v>
      </c>
      <c r="D56" s="18">
        <v>249</v>
      </c>
    </row>
    <row r="57" spans="1:5" x14ac:dyDescent="0.25">
      <c r="A57" s="4" t="s">
        <v>66</v>
      </c>
      <c r="B57" s="4"/>
      <c r="C57" s="4"/>
      <c r="D57" s="4"/>
    </row>
    <row r="58" spans="1:5" x14ac:dyDescent="0.25">
      <c r="A58" s="18" t="s">
        <v>67</v>
      </c>
      <c r="B58" s="18">
        <v>196</v>
      </c>
      <c r="C58" s="18">
        <v>211</v>
      </c>
      <c r="D58" s="18">
        <v>199</v>
      </c>
    </row>
    <row r="59" spans="1:5" x14ac:dyDescent="0.25">
      <c r="A59" s="4" t="s">
        <v>68</v>
      </c>
      <c r="B59" s="4"/>
      <c r="C59" s="4"/>
      <c r="D59" s="4"/>
    </row>
    <row r="60" spans="1:5" x14ac:dyDescent="0.25">
      <c r="A60" s="18" t="s">
        <v>69</v>
      </c>
      <c r="B60" s="18">
        <v>521</v>
      </c>
      <c r="C60" s="18">
        <v>591</v>
      </c>
      <c r="D60" s="18">
        <v>526</v>
      </c>
    </row>
    <row r="61" spans="1:5" x14ac:dyDescent="0.25">
      <c r="A61" t="s">
        <v>70</v>
      </c>
    </row>
    <row r="62" spans="1:5" x14ac:dyDescent="0.25">
      <c r="A62" s="18" t="s">
        <v>192</v>
      </c>
      <c r="B62" s="18">
        <v>270</v>
      </c>
      <c r="C62" s="18">
        <v>295</v>
      </c>
      <c r="D62" s="18">
        <v>274</v>
      </c>
      <c r="E62" s="40" t="s">
        <v>198</v>
      </c>
    </row>
    <row r="63" spans="1:5" x14ac:dyDescent="0.25">
      <c r="A63" s="4" t="s">
        <v>72</v>
      </c>
      <c r="B63" s="4"/>
      <c r="C63" s="4"/>
      <c r="D63" s="4"/>
    </row>
    <row r="64" spans="1:5" x14ac:dyDescent="0.25">
      <c r="A64" s="18" t="s">
        <v>73</v>
      </c>
      <c r="B64" s="18">
        <v>89</v>
      </c>
      <c r="C64" s="18">
        <v>96</v>
      </c>
      <c r="D64" s="18">
        <v>93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357</v>
      </c>
      <c r="C66" s="25">
        <v>386</v>
      </c>
      <c r="D66" s="25">
        <v>362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164</v>
      </c>
      <c r="C68" s="18">
        <v>178</v>
      </c>
      <c r="D68" s="18">
        <v>168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136</v>
      </c>
      <c r="C70" s="19">
        <v>154</v>
      </c>
      <c r="D70" s="19">
        <v>140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64332</v>
      </c>
      <c r="C72" s="19">
        <v>71311</v>
      </c>
      <c r="D72" s="19">
        <v>67448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AC64-D33D-42A7-8FEB-7FB3BA27EF08}">
  <dimension ref="A1:H86"/>
  <sheetViews>
    <sheetView topLeftCell="A30" workbookViewId="0">
      <selection activeCell="F53" sqref="F53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4.8499999999999996</v>
      </c>
      <c r="C2" s="20">
        <v>5.01</v>
      </c>
      <c r="D2" s="20" t="s">
        <v>249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4.25</v>
      </c>
      <c r="C4" s="20">
        <v>4.49</v>
      </c>
      <c r="D4" s="20" t="s">
        <v>249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3.73</v>
      </c>
      <c r="C6" s="20">
        <v>4.03</v>
      </c>
      <c r="D6" s="20" t="s">
        <v>249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78.45</v>
      </c>
      <c r="C8" s="18">
        <v>79.56</v>
      </c>
      <c r="D8" s="18">
        <v>78.81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107.2</v>
      </c>
      <c r="C10" s="18">
        <v>109.3</v>
      </c>
      <c r="D10" s="18">
        <v>108.3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6303</v>
      </c>
      <c r="C12" s="19">
        <v>6630</v>
      </c>
      <c r="D12" s="19">
        <v>6344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20651</v>
      </c>
      <c r="C14" s="29">
        <v>22105</v>
      </c>
      <c r="D14" s="29">
        <v>20795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2400</v>
      </c>
      <c r="C16" s="19">
        <v>2513</v>
      </c>
      <c r="D16" s="19">
        <v>2414</v>
      </c>
      <c r="G16" s="41"/>
    </row>
    <row r="17" spans="1:7" x14ac:dyDescent="0.25">
      <c r="A17" s="4" t="s">
        <v>28</v>
      </c>
      <c r="B17" s="4"/>
      <c r="C17" s="4"/>
      <c r="D17" s="4"/>
    </row>
    <row r="18" spans="1:7" x14ac:dyDescent="0.25">
      <c r="A18" s="18" t="s">
        <v>29</v>
      </c>
      <c r="B18" s="18">
        <v>125</v>
      </c>
      <c r="C18" s="18">
        <v>135</v>
      </c>
      <c r="D18" s="18">
        <v>128</v>
      </c>
    </row>
    <row r="19" spans="1:7" x14ac:dyDescent="0.25">
      <c r="A19" s="4" t="s">
        <v>30</v>
      </c>
      <c r="B19" s="4"/>
      <c r="C19" s="4"/>
      <c r="D19" s="4"/>
    </row>
    <row r="20" spans="1:7" x14ac:dyDescent="0.25">
      <c r="A20" s="20" t="s">
        <v>193</v>
      </c>
      <c r="B20" s="20">
        <v>178</v>
      </c>
      <c r="C20" s="20">
        <v>191</v>
      </c>
      <c r="D20" s="20">
        <v>185.48</v>
      </c>
    </row>
    <row r="21" spans="1:7" x14ac:dyDescent="0.25">
      <c r="A21" s="4" t="s">
        <v>194</v>
      </c>
      <c r="B21" s="4"/>
      <c r="C21" s="4"/>
      <c r="D21" s="4"/>
    </row>
    <row r="22" spans="1:7" x14ac:dyDescent="0.25">
      <c r="A22" s="20" t="s">
        <v>210</v>
      </c>
      <c r="B22" s="21">
        <v>44.35</v>
      </c>
      <c r="C22" s="21">
        <v>46.91</v>
      </c>
      <c r="D22" s="21">
        <v>45.92</v>
      </c>
    </row>
    <row r="23" spans="1:7" ht="15.75" thickBot="1" x14ac:dyDescent="0.3">
      <c r="A23" s="4" t="s">
        <v>211</v>
      </c>
      <c r="B23" s="4"/>
      <c r="C23" s="4"/>
      <c r="D23" s="4"/>
    </row>
    <row r="24" spans="1:7" ht="16.5" thickTop="1" thickBot="1" x14ac:dyDescent="0.3">
      <c r="A24" s="25" t="s">
        <v>33</v>
      </c>
      <c r="B24" s="29">
        <v>3790</v>
      </c>
      <c r="C24" s="29">
        <v>4013</v>
      </c>
      <c r="D24" s="29">
        <v>3892</v>
      </c>
    </row>
    <row r="25" spans="1:7" ht="15.75" thickTop="1" x14ac:dyDescent="0.25">
      <c r="A25" s="4" t="s">
        <v>171</v>
      </c>
      <c r="B25" s="4"/>
      <c r="C25" s="4"/>
      <c r="D25" s="4"/>
    </row>
    <row r="26" spans="1:7" x14ac:dyDescent="0.25">
      <c r="A26" s="18" t="s">
        <v>225</v>
      </c>
      <c r="B26" s="19">
        <v>51003</v>
      </c>
      <c r="C26" s="19">
        <v>54178</v>
      </c>
      <c r="D26" s="19">
        <v>51064</v>
      </c>
    </row>
    <row r="27" spans="1:7" x14ac:dyDescent="0.25">
      <c r="A27" s="4" t="s">
        <v>36</v>
      </c>
      <c r="B27" s="4"/>
      <c r="C27" s="4"/>
      <c r="D27" s="4"/>
    </row>
    <row r="28" spans="1:7" x14ac:dyDescent="0.25">
      <c r="A28" s="18" t="s">
        <v>37</v>
      </c>
      <c r="B28" s="19">
        <v>22002</v>
      </c>
      <c r="C28" s="19">
        <v>23391</v>
      </c>
      <c r="D28" s="19">
        <v>22734</v>
      </c>
    </row>
    <row r="29" spans="1:7" x14ac:dyDescent="0.25">
      <c r="A29" s="4" t="s">
        <v>38</v>
      </c>
      <c r="B29" s="4"/>
      <c r="C29" s="4"/>
      <c r="D29" s="4"/>
    </row>
    <row r="30" spans="1:7" x14ac:dyDescent="0.25">
      <c r="A30" s="20" t="s">
        <v>39</v>
      </c>
      <c r="B30" s="21">
        <v>24.17</v>
      </c>
      <c r="C30" s="21">
        <v>31.95</v>
      </c>
      <c r="D30" s="21">
        <v>28.88</v>
      </c>
    </row>
    <row r="31" spans="1:7" ht="15.75" thickBot="1" x14ac:dyDescent="0.3">
      <c r="A31" s="4" t="s">
        <v>40</v>
      </c>
      <c r="B31" s="4"/>
      <c r="C31" s="4"/>
      <c r="D31" s="4"/>
    </row>
    <row r="32" spans="1:7" ht="16.5" thickTop="1" thickBot="1" x14ac:dyDescent="0.3">
      <c r="A32" s="23" t="s">
        <v>41</v>
      </c>
      <c r="B32" s="23">
        <v>99.29</v>
      </c>
      <c r="C32" s="23">
        <v>100.98</v>
      </c>
      <c r="D32" s="23">
        <v>100.33</v>
      </c>
      <c r="G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1.1399999999999999</v>
      </c>
      <c r="C34" s="25">
        <v>1.161</v>
      </c>
      <c r="D34" s="25">
        <v>1.147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158.33000000000001</v>
      </c>
      <c r="C36" s="20">
        <v>160.86000000000001</v>
      </c>
      <c r="D36" s="20">
        <v>159.66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1.3140000000000001</v>
      </c>
      <c r="C38" s="18">
        <v>1.3420000000000001</v>
      </c>
      <c r="D38" s="18">
        <v>1.321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0.72099999999999997</v>
      </c>
      <c r="C40" s="18">
        <v>0.72899999999999998</v>
      </c>
      <c r="D40" s="18">
        <v>0.71699999999999997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88.14</v>
      </c>
      <c r="C42" s="20">
        <v>104.16</v>
      </c>
      <c r="D42" s="20">
        <v>102.88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99.99</v>
      </c>
      <c r="C44" s="20">
        <v>116.5</v>
      </c>
      <c r="D44" s="20">
        <v>108.12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2.75</v>
      </c>
      <c r="C46" s="19">
        <v>3.19</v>
      </c>
      <c r="D46" s="19">
        <v>2.84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4297</v>
      </c>
      <c r="C48" s="21">
        <v>4799</v>
      </c>
      <c r="D48" s="21">
        <v>4588</v>
      </c>
      <c r="E48" s="40" t="s">
        <v>241</v>
      </c>
    </row>
    <row r="49" spans="1:6" x14ac:dyDescent="0.25">
      <c r="A49" s="4" t="s">
        <v>58</v>
      </c>
      <c r="B49" s="4"/>
      <c r="C49" s="4"/>
      <c r="D49" s="4"/>
    </row>
    <row r="50" spans="1:6" x14ac:dyDescent="0.25">
      <c r="A50" s="18" t="s">
        <v>232</v>
      </c>
      <c r="B50" s="19">
        <v>5.29</v>
      </c>
      <c r="C50" s="19">
        <v>5.62</v>
      </c>
      <c r="D50" s="19">
        <v>5.46</v>
      </c>
    </row>
    <row r="51" spans="1:6" ht="15.75" thickBot="1" x14ac:dyDescent="0.3">
      <c r="A51" s="4" t="s">
        <v>185</v>
      </c>
      <c r="B51" s="4"/>
      <c r="C51" s="4"/>
      <c r="D51" s="4"/>
    </row>
    <row r="52" spans="1:6" ht="16.5" thickTop="1" thickBot="1" x14ac:dyDescent="0.3">
      <c r="A52" s="25" t="s">
        <v>242</v>
      </c>
      <c r="B52" s="25">
        <v>65</v>
      </c>
      <c r="C52" s="25">
        <v>77</v>
      </c>
      <c r="D52" s="25">
        <v>70</v>
      </c>
      <c r="E52" t="s">
        <v>235</v>
      </c>
      <c r="F52" t="s">
        <v>250</v>
      </c>
    </row>
    <row r="53" spans="1:6" ht="15.75" thickTop="1" x14ac:dyDescent="0.25">
      <c r="A53" s="4" t="s">
        <v>62</v>
      </c>
      <c r="B53" s="4"/>
      <c r="C53" s="4"/>
      <c r="D53" s="4"/>
    </row>
    <row r="54" spans="1:6" x14ac:dyDescent="0.25">
      <c r="A54" s="18" t="s">
        <v>63</v>
      </c>
      <c r="B54" s="18">
        <v>349</v>
      </c>
      <c r="C54" s="18">
        <v>390</v>
      </c>
      <c r="D54" s="18">
        <v>359</v>
      </c>
    </row>
    <row r="55" spans="1:6" x14ac:dyDescent="0.25">
      <c r="A55" s="4" t="s">
        <v>64</v>
      </c>
      <c r="B55" s="4"/>
      <c r="C55" s="4"/>
      <c r="D55" s="4"/>
    </row>
    <row r="56" spans="1:6" x14ac:dyDescent="0.25">
      <c r="A56" s="18" t="s">
        <v>121</v>
      </c>
      <c r="B56" s="18">
        <v>243</v>
      </c>
      <c r="C56" s="18">
        <v>253</v>
      </c>
      <c r="D56" s="18">
        <v>247</v>
      </c>
    </row>
    <row r="57" spans="1:6" x14ac:dyDescent="0.25">
      <c r="A57" s="4" t="s">
        <v>66</v>
      </c>
      <c r="B57" s="4"/>
      <c r="C57" s="4"/>
      <c r="D57" s="4"/>
    </row>
    <row r="58" spans="1:6" x14ac:dyDescent="0.25">
      <c r="A58" s="18" t="s">
        <v>67</v>
      </c>
      <c r="B58" s="18">
        <v>196</v>
      </c>
      <c r="C58" s="18">
        <v>210</v>
      </c>
      <c r="D58" s="18">
        <v>201</v>
      </c>
    </row>
    <row r="59" spans="1:6" x14ac:dyDescent="0.25">
      <c r="A59" s="4" t="s">
        <v>68</v>
      </c>
      <c r="B59" s="4"/>
      <c r="C59" s="4"/>
      <c r="D59" s="4"/>
    </row>
    <row r="60" spans="1:6" x14ac:dyDescent="0.25">
      <c r="A60" s="18" t="s">
        <v>69</v>
      </c>
      <c r="B60" s="18">
        <v>515</v>
      </c>
      <c r="C60" s="18">
        <v>579</v>
      </c>
      <c r="D60" s="18">
        <v>536</v>
      </c>
    </row>
    <row r="61" spans="1:6" x14ac:dyDescent="0.25">
      <c r="A61" t="s">
        <v>70</v>
      </c>
    </row>
    <row r="62" spans="1:6" x14ac:dyDescent="0.25">
      <c r="A62" s="18" t="s">
        <v>192</v>
      </c>
      <c r="B62" s="18">
        <v>265</v>
      </c>
      <c r="C62" s="18">
        <v>292</v>
      </c>
      <c r="D62" s="18">
        <v>274</v>
      </c>
      <c r="E62" s="40" t="s">
        <v>198</v>
      </c>
    </row>
    <row r="63" spans="1:6" x14ac:dyDescent="0.25">
      <c r="A63" s="4" t="s">
        <v>72</v>
      </c>
      <c r="B63" s="4"/>
      <c r="C63" s="4"/>
      <c r="D63" s="4"/>
    </row>
    <row r="64" spans="1:6" x14ac:dyDescent="0.25">
      <c r="A64" s="18" t="s">
        <v>73</v>
      </c>
      <c r="B64" s="18">
        <v>89</v>
      </c>
      <c r="C64" s="18">
        <v>94</v>
      </c>
      <c r="D64" s="18">
        <v>93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350</v>
      </c>
      <c r="C66" s="25">
        <v>384</v>
      </c>
      <c r="D66" s="25">
        <v>355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162</v>
      </c>
      <c r="C68" s="18">
        <v>177</v>
      </c>
      <c r="D68" s="18">
        <v>165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134</v>
      </c>
      <c r="C70" s="19">
        <v>152</v>
      </c>
      <c r="D70" s="19">
        <v>139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63903</v>
      </c>
      <c r="C72" s="19">
        <v>71200</v>
      </c>
      <c r="D72" s="19">
        <v>66039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CB83-8ACA-41A3-8F49-D2BACDCFBC38}">
  <dimension ref="A1:H86"/>
  <sheetViews>
    <sheetView topLeftCell="A44" workbookViewId="0">
      <selection activeCell="G2" sqref="G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</v>
      </c>
      <c r="C2" s="20">
        <v>5.01</v>
      </c>
      <c r="D2" s="20">
        <v>4.88</v>
      </c>
      <c r="G2" t="s">
        <v>216</v>
      </c>
    </row>
    <row r="3" spans="1:8" x14ac:dyDescent="0.25">
      <c r="A3" s="4" t="s">
        <v>14</v>
      </c>
      <c r="B3" s="4"/>
      <c r="C3" s="4"/>
      <c r="D3" s="4"/>
      <c r="G3">
        <v>23.77</v>
      </c>
    </row>
    <row r="4" spans="1:8" x14ac:dyDescent="0.25">
      <c r="A4" s="20" t="s">
        <v>127</v>
      </c>
      <c r="B4" s="20">
        <v>4.2300000000000004</v>
      </c>
      <c r="C4" s="20">
        <v>4.49</v>
      </c>
      <c r="D4" s="20">
        <v>4.3</v>
      </c>
      <c r="E4" s="40" t="s">
        <v>220</v>
      </c>
    </row>
    <row r="5" spans="1:8" x14ac:dyDescent="0.25">
      <c r="A5" s="4" t="s">
        <v>16</v>
      </c>
      <c r="B5" s="4"/>
      <c r="C5" s="4"/>
      <c r="D5" s="4"/>
      <c r="G5" t="s">
        <v>217</v>
      </c>
    </row>
    <row r="6" spans="1:8" x14ac:dyDescent="0.25">
      <c r="A6" s="20" t="s">
        <v>224</v>
      </c>
      <c r="B6" s="20">
        <v>3.73</v>
      </c>
      <c r="C6" s="20">
        <v>4.03</v>
      </c>
      <c r="D6" s="20">
        <v>3.79</v>
      </c>
      <c r="G6" s="33">
        <v>20.69</v>
      </c>
      <c r="H6">
        <v>24.68</v>
      </c>
    </row>
    <row r="7" spans="1:8" x14ac:dyDescent="0.25">
      <c r="A7" s="4" t="s">
        <v>18</v>
      </c>
      <c r="B7" s="4"/>
      <c r="C7" s="4"/>
      <c r="D7" s="4"/>
      <c r="G7" t="s">
        <v>218</v>
      </c>
    </row>
    <row r="8" spans="1:8" x14ac:dyDescent="0.25">
      <c r="A8" s="18" t="s">
        <v>208</v>
      </c>
      <c r="B8" s="18">
        <v>78.510000000000005</v>
      </c>
      <c r="C8" s="18">
        <v>79.86</v>
      </c>
      <c r="D8" s="18">
        <v>79.180000000000007</v>
      </c>
      <c r="G8" s="33">
        <v>16.84</v>
      </c>
      <c r="H8" s="33">
        <v>19.93</v>
      </c>
    </row>
    <row r="9" spans="1:8" x14ac:dyDescent="0.25">
      <c r="A9" s="4" t="s">
        <v>20</v>
      </c>
      <c r="B9" s="4"/>
      <c r="C9" s="4"/>
      <c r="D9" s="4"/>
      <c r="G9" t="s">
        <v>219</v>
      </c>
    </row>
    <row r="10" spans="1:8" x14ac:dyDescent="0.25">
      <c r="A10" s="18" t="s">
        <v>229</v>
      </c>
      <c r="B10" s="18">
        <v>107.4</v>
      </c>
      <c r="C10" s="18">
        <v>109.4</v>
      </c>
      <c r="D10" s="18">
        <v>108.5</v>
      </c>
      <c r="G10" s="34">
        <v>56.6</v>
      </c>
      <c r="H10">
        <v>66.8</v>
      </c>
    </row>
    <row r="11" spans="1:8" x14ac:dyDescent="0.25">
      <c r="A11" s="4" t="s">
        <v>22</v>
      </c>
      <c r="B11" s="4"/>
      <c r="C11" s="4"/>
      <c r="D11" s="4"/>
    </row>
    <row r="12" spans="1:8" x14ac:dyDescent="0.25">
      <c r="A12" s="18" t="s">
        <v>209</v>
      </c>
      <c r="B12" s="19">
        <v>6317</v>
      </c>
      <c r="C12" s="19">
        <v>6650</v>
      </c>
      <c r="D12" s="19">
        <v>6529</v>
      </c>
      <c r="E12" s="40" t="s">
        <v>240</v>
      </c>
      <c r="G12" t="s">
        <v>247</v>
      </c>
    </row>
    <row r="13" spans="1:8" ht="15.75" thickBot="1" x14ac:dyDescent="0.3">
      <c r="A13" s="4" t="s">
        <v>24</v>
      </c>
      <c r="B13" s="4"/>
      <c r="C13" s="4"/>
      <c r="D13" s="4"/>
      <c r="G13">
        <v>14.44</v>
      </c>
      <c r="H13">
        <v>17.18</v>
      </c>
    </row>
    <row r="14" spans="1:8" ht="16.5" thickTop="1" thickBot="1" x14ac:dyDescent="0.3">
      <c r="A14" s="25" t="s">
        <v>25</v>
      </c>
      <c r="B14" s="29">
        <v>20705</v>
      </c>
      <c r="C14" s="29">
        <v>21998</v>
      </c>
      <c r="D14" s="29">
        <v>21591</v>
      </c>
      <c r="G14" t="s">
        <v>248</v>
      </c>
    </row>
    <row r="15" spans="1:8" ht="15.75" thickTop="1" x14ac:dyDescent="0.25">
      <c r="A15" s="4" t="s">
        <v>26</v>
      </c>
      <c r="B15" s="4"/>
      <c r="C15" s="4"/>
      <c r="D15" s="4"/>
      <c r="G15">
        <v>35.950000000000003</v>
      </c>
      <c r="H15">
        <v>37.57</v>
      </c>
    </row>
    <row r="16" spans="1:8" x14ac:dyDescent="0.25">
      <c r="A16" s="18" t="s">
        <v>27</v>
      </c>
      <c r="B16" s="19">
        <v>2403</v>
      </c>
      <c r="C16" s="19">
        <v>2523</v>
      </c>
      <c r="D16" s="19">
        <v>2496</v>
      </c>
      <c r="G16" s="41"/>
    </row>
    <row r="17" spans="1:5" x14ac:dyDescent="0.25">
      <c r="A17" s="4" t="s">
        <v>28</v>
      </c>
      <c r="B17" s="4"/>
      <c r="C17" s="4"/>
      <c r="D17" s="4"/>
    </row>
    <row r="18" spans="1:5" x14ac:dyDescent="0.25">
      <c r="A18" s="18" t="s">
        <v>29</v>
      </c>
      <c r="B18" s="18">
        <v>126</v>
      </c>
      <c r="C18" s="18">
        <v>137</v>
      </c>
      <c r="D18" s="18">
        <v>133</v>
      </c>
    </row>
    <row r="19" spans="1:5" x14ac:dyDescent="0.25">
      <c r="A19" s="4" t="s">
        <v>30</v>
      </c>
      <c r="B19" s="4"/>
      <c r="C19" s="4"/>
      <c r="D19" s="4"/>
    </row>
    <row r="20" spans="1:5" x14ac:dyDescent="0.25">
      <c r="A20" s="20" t="s">
        <v>193</v>
      </c>
      <c r="B20" s="20">
        <v>175</v>
      </c>
      <c r="C20" s="20">
        <v>191</v>
      </c>
      <c r="D20" s="20">
        <v>181.83</v>
      </c>
    </row>
    <row r="21" spans="1:5" x14ac:dyDescent="0.25">
      <c r="A21" s="4" t="s">
        <v>194</v>
      </c>
      <c r="B21" s="4"/>
      <c r="C21" s="4"/>
      <c r="D21" s="4"/>
    </row>
    <row r="22" spans="1:5" x14ac:dyDescent="0.25">
      <c r="A22" s="20" t="s">
        <v>210</v>
      </c>
      <c r="B22" s="21">
        <v>44.54</v>
      </c>
      <c r="C22" s="21">
        <v>46.9</v>
      </c>
      <c r="D22" s="21">
        <v>45.89</v>
      </c>
    </row>
    <row r="23" spans="1:5" ht="15.75" thickBot="1" x14ac:dyDescent="0.3">
      <c r="A23" s="4" t="s">
        <v>211</v>
      </c>
      <c r="B23" s="4"/>
      <c r="C23" s="4"/>
      <c r="D23" s="4"/>
    </row>
    <row r="24" spans="1:5" ht="16.5" thickTop="1" thickBot="1" x14ac:dyDescent="0.3">
      <c r="A24" s="25" t="s">
        <v>33</v>
      </c>
      <c r="B24" s="29">
        <v>3801</v>
      </c>
      <c r="C24" s="29">
        <v>4013</v>
      </c>
      <c r="D24" s="29">
        <v>3949</v>
      </c>
    </row>
    <row r="25" spans="1:5" ht="15.75" thickTop="1" x14ac:dyDescent="0.25">
      <c r="A25" s="4" t="s">
        <v>171</v>
      </c>
      <c r="B25" s="4"/>
      <c r="C25" s="4"/>
      <c r="D25" s="4"/>
    </row>
    <row r="26" spans="1:5" x14ac:dyDescent="0.25">
      <c r="A26" s="18" t="s">
        <v>225</v>
      </c>
      <c r="B26" s="19">
        <v>50401</v>
      </c>
      <c r="C26" s="19">
        <v>53996</v>
      </c>
      <c r="D26" s="19">
        <v>53740</v>
      </c>
    </row>
    <row r="27" spans="1:5" x14ac:dyDescent="0.25">
      <c r="A27" s="4" t="s">
        <v>36</v>
      </c>
      <c r="B27" s="4"/>
      <c r="C27" s="4"/>
      <c r="D27" s="4"/>
    </row>
    <row r="28" spans="1:5" x14ac:dyDescent="0.25">
      <c r="A28" s="18" t="s">
        <v>37</v>
      </c>
      <c r="B28" s="19">
        <v>22212</v>
      </c>
      <c r="C28" s="19">
        <v>23177</v>
      </c>
      <c r="D28" s="19">
        <v>23140</v>
      </c>
    </row>
    <row r="29" spans="1:5" x14ac:dyDescent="0.25">
      <c r="A29" s="4" t="s">
        <v>38</v>
      </c>
      <c r="B29" s="4"/>
      <c r="C29" s="4"/>
      <c r="D29" s="4"/>
    </row>
    <row r="30" spans="1:5" x14ac:dyDescent="0.25">
      <c r="A30" s="20" t="s">
        <v>39</v>
      </c>
      <c r="B30" s="21">
        <v>22.7</v>
      </c>
      <c r="C30" s="21">
        <v>31.93</v>
      </c>
      <c r="D30" s="21">
        <v>24.75</v>
      </c>
    </row>
    <row r="31" spans="1:5" ht="15.75" thickBot="1" x14ac:dyDescent="0.3">
      <c r="A31" s="4" t="s">
        <v>40</v>
      </c>
      <c r="B31" s="4"/>
      <c r="C31" s="4"/>
      <c r="D31" s="4"/>
    </row>
    <row r="32" spans="1:5" ht="16.5" thickTop="1" thickBot="1" x14ac:dyDescent="0.3">
      <c r="A32" s="23" t="s">
        <v>41</v>
      </c>
      <c r="B32" s="23">
        <v>99.16</v>
      </c>
      <c r="C32" s="23">
        <v>100.67</v>
      </c>
      <c r="D32" s="23">
        <v>99.32</v>
      </c>
      <c r="E32" t="s">
        <v>213</v>
      </c>
    </row>
    <row r="33" spans="1:5" ht="16.5" thickTop="1" thickBot="1" x14ac:dyDescent="0.3">
      <c r="A33" s="4" t="s">
        <v>42</v>
      </c>
      <c r="B33" s="4"/>
      <c r="C33" s="4"/>
      <c r="D33" s="4"/>
    </row>
    <row r="34" spans="1:5" ht="16.5" thickTop="1" thickBot="1" x14ac:dyDescent="0.3">
      <c r="A34" s="25" t="s">
        <v>43</v>
      </c>
      <c r="B34" s="25">
        <v>1.1419999999999999</v>
      </c>
      <c r="C34" s="25">
        <v>1.165</v>
      </c>
      <c r="D34" s="25">
        <v>1.1599999999999999</v>
      </c>
    </row>
    <row r="35" spans="1:5" ht="15.75" thickTop="1" x14ac:dyDescent="0.25">
      <c r="A35" s="4" t="s">
        <v>44</v>
      </c>
      <c r="B35" s="4"/>
      <c r="C35" s="4"/>
      <c r="D35" s="4"/>
    </row>
    <row r="36" spans="1:5" x14ac:dyDescent="0.25">
      <c r="A36" s="20" t="s">
        <v>45</v>
      </c>
      <c r="B36" s="20">
        <v>158.03</v>
      </c>
      <c r="C36" s="20">
        <v>160.66</v>
      </c>
      <c r="D36" s="20">
        <v>158.66999999999999</v>
      </c>
    </row>
    <row r="37" spans="1:5" x14ac:dyDescent="0.25">
      <c r="A37" s="4" t="s">
        <v>46</v>
      </c>
      <c r="B37" s="4"/>
      <c r="C37" s="4"/>
      <c r="D37" s="4"/>
    </row>
    <row r="38" spans="1:5" x14ac:dyDescent="0.25">
      <c r="A38" s="18" t="s">
        <v>47</v>
      </c>
      <c r="B38" s="18">
        <v>1.3149999999999999</v>
      </c>
      <c r="C38" s="18">
        <v>1.3420000000000001</v>
      </c>
      <c r="D38" s="18">
        <v>1.33</v>
      </c>
    </row>
    <row r="39" spans="1:5" x14ac:dyDescent="0.25">
      <c r="A39" s="4" t="s">
        <v>48</v>
      </c>
      <c r="B39" s="4"/>
      <c r="C39" s="4"/>
      <c r="D39" s="4"/>
    </row>
    <row r="40" spans="1:5" x14ac:dyDescent="0.25">
      <c r="A40" s="18" t="s">
        <v>49</v>
      </c>
      <c r="B40" s="18">
        <v>0.71399999999999997</v>
      </c>
      <c r="C40" s="18">
        <v>0.72599999999999998</v>
      </c>
      <c r="D40" s="18">
        <v>0.72</v>
      </c>
    </row>
    <row r="41" spans="1:5" x14ac:dyDescent="0.25">
      <c r="A41" s="4" t="s">
        <v>50</v>
      </c>
      <c r="B41" s="4"/>
      <c r="C41" s="4"/>
      <c r="D41" s="4"/>
    </row>
    <row r="42" spans="1:5" x14ac:dyDescent="0.25">
      <c r="A42" s="20" t="s">
        <v>124</v>
      </c>
      <c r="B42" s="20">
        <v>89.13</v>
      </c>
      <c r="C42" s="20">
        <v>105.98</v>
      </c>
      <c r="D42" s="20">
        <v>100.26</v>
      </c>
      <c r="E42" s="40" t="s">
        <v>212</v>
      </c>
    </row>
    <row r="43" spans="1:5" x14ac:dyDescent="0.25">
      <c r="A43" s="4" t="s">
        <v>52</v>
      </c>
      <c r="B43" s="4"/>
      <c r="C43" s="4"/>
      <c r="D43" s="4"/>
    </row>
    <row r="44" spans="1:5" x14ac:dyDescent="0.25">
      <c r="A44" s="20" t="s">
        <v>125</v>
      </c>
      <c r="B44" s="20">
        <v>100</v>
      </c>
      <c r="C44" s="20">
        <v>116</v>
      </c>
      <c r="D44" s="20">
        <v>103.92</v>
      </c>
    </row>
    <row r="45" spans="1:5" x14ac:dyDescent="0.25">
      <c r="A45" s="4" t="s">
        <v>54</v>
      </c>
      <c r="B45" s="4"/>
      <c r="C45" s="4"/>
      <c r="D45" s="4"/>
    </row>
    <row r="46" spans="1:5" x14ac:dyDescent="0.25">
      <c r="A46" s="18" t="s">
        <v>116</v>
      </c>
      <c r="B46" s="19">
        <v>2.75</v>
      </c>
      <c r="C46" s="19">
        <v>3.17</v>
      </c>
      <c r="D46" s="19">
        <v>2.87</v>
      </c>
    </row>
    <row r="47" spans="1:5" x14ac:dyDescent="0.25">
      <c r="A47" s="4" t="s">
        <v>56</v>
      </c>
      <c r="B47" s="4"/>
      <c r="C47" s="4"/>
      <c r="D47" s="4"/>
    </row>
    <row r="48" spans="1:5" ht="45" x14ac:dyDescent="0.25">
      <c r="A48" s="20" t="s">
        <v>57</v>
      </c>
      <c r="B48" s="21">
        <v>4307</v>
      </c>
      <c r="C48" s="21">
        <v>4782</v>
      </c>
      <c r="D48" s="21">
        <v>4746</v>
      </c>
      <c r="E48" s="40" t="s">
        <v>241</v>
      </c>
    </row>
    <row r="49" spans="1:6" x14ac:dyDescent="0.25">
      <c r="A49" s="4" t="s">
        <v>58</v>
      </c>
      <c r="B49" s="4"/>
      <c r="C49" s="4"/>
      <c r="D49" s="4"/>
    </row>
    <row r="50" spans="1:6" x14ac:dyDescent="0.25">
      <c r="A50" s="18" t="s">
        <v>232</v>
      </c>
      <c r="B50" s="19">
        <v>5.3</v>
      </c>
      <c r="C50" s="19">
        <v>5.66</v>
      </c>
      <c r="D50" s="19">
        <v>5.61</v>
      </c>
    </row>
    <row r="51" spans="1:6" ht="15.75" thickBot="1" x14ac:dyDescent="0.3">
      <c r="A51" s="4" t="s">
        <v>185</v>
      </c>
      <c r="B51" s="4"/>
      <c r="C51" s="4"/>
      <c r="D51" s="4"/>
    </row>
    <row r="52" spans="1:6" ht="16.5" thickTop="1" thickBot="1" x14ac:dyDescent="0.3">
      <c r="A52" s="25" t="s">
        <v>242</v>
      </c>
      <c r="B52" s="25">
        <v>65</v>
      </c>
      <c r="C52" s="25">
        <v>77</v>
      </c>
      <c r="D52" s="25">
        <v>75</v>
      </c>
      <c r="E52" t="s">
        <v>235</v>
      </c>
      <c r="F52" t="s">
        <v>250</v>
      </c>
    </row>
    <row r="53" spans="1:6" ht="15.75" thickTop="1" x14ac:dyDescent="0.25">
      <c r="A53" s="4" t="s">
        <v>62</v>
      </c>
      <c r="B53" s="4"/>
      <c r="C53" s="4"/>
      <c r="D53" s="4"/>
    </row>
    <row r="54" spans="1:6" x14ac:dyDescent="0.25">
      <c r="A54" s="18" t="s">
        <v>63</v>
      </c>
      <c r="B54" s="18">
        <v>350</v>
      </c>
      <c r="C54" s="18">
        <v>389</v>
      </c>
      <c r="D54" s="18">
        <v>370</v>
      </c>
    </row>
    <row r="55" spans="1:6" x14ac:dyDescent="0.25">
      <c r="A55" s="4" t="s">
        <v>64</v>
      </c>
      <c r="B55" s="4"/>
      <c r="C55" s="4"/>
      <c r="D55" s="4"/>
    </row>
    <row r="56" spans="1:6" x14ac:dyDescent="0.25">
      <c r="A56" s="18" t="s">
        <v>121</v>
      </c>
      <c r="B56" s="18">
        <v>244</v>
      </c>
      <c r="C56" s="18">
        <v>256</v>
      </c>
      <c r="D56" s="18">
        <v>254</v>
      </c>
    </row>
    <row r="57" spans="1:6" x14ac:dyDescent="0.25">
      <c r="A57" s="4" t="s">
        <v>66</v>
      </c>
      <c r="B57" s="4"/>
      <c r="C57" s="4"/>
      <c r="D57" s="4"/>
    </row>
    <row r="58" spans="1:6" x14ac:dyDescent="0.25">
      <c r="A58" s="18" t="s">
        <v>67</v>
      </c>
      <c r="B58" s="18">
        <v>197</v>
      </c>
      <c r="C58" s="18">
        <v>214</v>
      </c>
      <c r="D58" s="18">
        <v>208</v>
      </c>
    </row>
    <row r="59" spans="1:6" x14ac:dyDescent="0.25">
      <c r="A59" s="4" t="s">
        <v>68</v>
      </c>
      <c r="B59" s="4"/>
      <c r="C59" s="4"/>
      <c r="D59" s="4"/>
    </row>
    <row r="60" spans="1:6" x14ac:dyDescent="0.25">
      <c r="A60" s="18" t="s">
        <v>69</v>
      </c>
      <c r="B60" s="18">
        <v>515</v>
      </c>
      <c r="C60" s="18">
        <v>599</v>
      </c>
      <c r="D60" s="18">
        <v>572</v>
      </c>
    </row>
    <row r="61" spans="1:6" x14ac:dyDescent="0.25">
      <c r="A61" t="s">
        <v>70</v>
      </c>
    </row>
    <row r="62" spans="1:6" x14ac:dyDescent="0.25">
      <c r="A62" s="18" t="s">
        <v>192</v>
      </c>
      <c r="B62" s="18">
        <v>266</v>
      </c>
      <c r="C62" s="18">
        <v>299</v>
      </c>
      <c r="D62" s="18">
        <v>288</v>
      </c>
      <c r="E62" s="40" t="s">
        <v>198</v>
      </c>
    </row>
    <row r="63" spans="1:6" x14ac:dyDescent="0.25">
      <c r="A63" s="4" t="s">
        <v>72</v>
      </c>
      <c r="B63" s="4"/>
      <c r="C63" s="4"/>
      <c r="D63" s="4"/>
    </row>
    <row r="64" spans="1:6" x14ac:dyDescent="0.25">
      <c r="A64" s="20" t="s">
        <v>201</v>
      </c>
      <c r="B64" s="20">
        <v>92</v>
      </c>
      <c r="C64" s="20">
        <v>98</v>
      </c>
      <c r="D64" s="20">
        <v>96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351</v>
      </c>
      <c r="C66" s="25">
        <v>386</v>
      </c>
      <c r="D66" s="25">
        <v>372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164</v>
      </c>
      <c r="C68" s="18">
        <v>178</v>
      </c>
      <c r="D68" s="18">
        <v>174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136</v>
      </c>
      <c r="C70" s="19">
        <v>154</v>
      </c>
      <c r="D70" s="19">
        <v>147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64412</v>
      </c>
      <c r="C72" s="19">
        <v>71801</v>
      </c>
      <c r="D72" s="19">
        <v>68499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FFD2-AE7C-4F71-A151-1EB4B41F989F}">
  <dimension ref="A1:H86"/>
  <sheetViews>
    <sheetView topLeftCell="A6" workbookViewId="0">
      <selection activeCell="I18" sqref="I18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4.87</v>
      </c>
      <c r="C2" s="20">
        <v>5</v>
      </c>
      <c r="D2" s="20">
        <v>4.91</v>
      </c>
      <c r="G2" t="s">
        <v>253</v>
      </c>
    </row>
    <row r="3" spans="1:8" x14ac:dyDescent="0.25">
      <c r="A3" s="4" t="s">
        <v>14</v>
      </c>
      <c r="B3" s="4"/>
      <c r="C3" s="4"/>
      <c r="D3" s="4"/>
      <c r="G3" t="s">
        <v>254</v>
      </c>
    </row>
    <row r="4" spans="1:8" x14ac:dyDescent="0.25">
      <c r="A4" s="20" t="s">
        <v>127</v>
      </c>
      <c r="B4" s="20">
        <v>4.2699999999999996</v>
      </c>
      <c r="C4" s="20">
        <v>4.4800000000000004</v>
      </c>
      <c r="D4" s="20">
        <v>4.33</v>
      </c>
      <c r="E4" s="40" t="s">
        <v>220</v>
      </c>
      <c r="G4" t="s">
        <v>255</v>
      </c>
    </row>
    <row r="5" spans="1:8" x14ac:dyDescent="0.25">
      <c r="A5" s="4" t="s">
        <v>16</v>
      </c>
      <c r="B5" s="4"/>
      <c r="C5" s="4"/>
      <c r="D5" s="4"/>
      <c r="G5" t="s">
        <v>256</v>
      </c>
    </row>
    <row r="6" spans="1:8" x14ac:dyDescent="0.25">
      <c r="A6" s="20" t="s">
        <v>224</v>
      </c>
      <c r="B6" s="20">
        <v>3.75</v>
      </c>
      <c r="C6" s="20">
        <v>4.03</v>
      </c>
      <c r="D6" s="20">
        <v>3.81</v>
      </c>
      <c r="G6" t="s">
        <v>257</v>
      </c>
    </row>
    <row r="7" spans="1:8" x14ac:dyDescent="0.25">
      <c r="A7" s="4" t="s">
        <v>18</v>
      </c>
      <c r="B7" s="4"/>
      <c r="C7" s="4"/>
      <c r="D7" s="4"/>
    </row>
    <row r="8" spans="1:8" x14ac:dyDescent="0.25">
      <c r="A8" s="18" t="s">
        <v>208</v>
      </c>
      <c r="B8" s="18">
        <v>78.3</v>
      </c>
      <c r="C8" s="18">
        <v>79.510000000000005</v>
      </c>
      <c r="D8" s="18">
        <v>79.37</v>
      </c>
      <c r="G8" t="s">
        <v>258</v>
      </c>
      <c r="H8" s="33"/>
    </row>
    <row r="9" spans="1:8" x14ac:dyDescent="0.25">
      <c r="A9" s="4" t="s">
        <v>20</v>
      </c>
      <c r="B9" s="4"/>
      <c r="C9" s="4"/>
      <c r="D9" s="4"/>
      <c r="G9" t="s">
        <v>259</v>
      </c>
    </row>
    <row r="10" spans="1:8" x14ac:dyDescent="0.25">
      <c r="A10" s="18" t="s">
        <v>229</v>
      </c>
      <c r="B10" s="18">
        <v>107.1</v>
      </c>
      <c r="C10" s="18">
        <v>108.9</v>
      </c>
      <c r="D10" s="18">
        <v>108.7</v>
      </c>
      <c r="G10" t="s">
        <v>284</v>
      </c>
    </row>
    <row r="11" spans="1:8" x14ac:dyDescent="0.25">
      <c r="A11" s="4" t="s">
        <v>22</v>
      </c>
      <c r="B11" s="4"/>
      <c r="C11" s="4"/>
      <c r="D11" s="4"/>
      <c r="G11" t="s">
        <v>260</v>
      </c>
    </row>
    <row r="12" spans="1:8" x14ac:dyDescent="0.25">
      <c r="A12" s="18" t="s">
        <v>209</v>
      </c>
      <c r="B12" s="19">
        <v>6311</v>
      </c>
      <c r="C12" s="19">
        <v>6646</v>
      </c>
      <c r="D12" s="19">
        <v>6575</v>
      </c>
      <c r="E12" s="40" t="s">
        <v>240</v>
      </c>
      <c r="G12" t="s">
        <v>261</v>
      </c>
    </row>
    <row r="13" spans="1:8" ht="15.75" thickBot="1" x14ac:dyDescent="0.3">
      <c r="A13" s="4" t="s">
        <v>24</v>
      </c>
      <c r="B13" s="4"/>
      <c r="C13" s="4"/>
      <c r="D13" s="4"/>
      <c r="G13" t="s">
        <v>262</v>
      </c>
    </row>
    <row r="14" spans="1:8" ht="16.5" thickTop="1" thickBot="1" x14ac:dyDescent="0.3">
      <c r="A14" s="25" t="s">
        <v>25</v>
      </c>
      <c r="B14" s="29">
        <v>20713</v>
      </c>
      <c r="C14" s="29">
        <v>22009</v>
      </c>
      <c r="D14" s="29">
        <v>21841</v>
      </c>
    </row>
    <row r="15" spans="1:8" ht="15.75" thickTop="1" x14ac:dyDescent="0.25">
      <c r="A15" s="4" t="s">
        <v>26</v>
      </c>
      <c r="B15" s="4"/>
      <c r="C15" s="4"/>
      <c r="D15" s="4"/>
      <c r="G15" t="s">
        <v>263</v>
      </c>
    </row>
    <row r="16" spans="1:8" x14ac:dyDescent="0.25">
      <c r="A16" s="18" t="s">
        <v>27</v>
      </c>
      <c r="B16" s="19">
        <v>2412</v>
      </c>
      <c r="C16" s="19">
        <v>2535</v>
      </c>
      <c r="D16" s="19">
        <v>2512</v>
      </c>
      <c r="G16" s="42" t="s">
        <v>264</v>
      </c>
    </row>
    <row r="17" spans="1:8" x14ac:dyDescent="0.25">
      <c r="A17" s="4" t="s">
        <v>28</v>
      </c>
      <c r="B17" s="4"/>
      <c r="C17" s="4"/>
      <c r="D17" s="4"/>
      <c r="G17" t="s">
        <v>262</v>
      </c>
    </row>
    <row r="18" spans="1:8" x14ac:dyDescent="0.25">
      <c r="A18" s="18" t="s">
        <v>29</v>
      </c>
      <c r="B18" s="18">
        <v>126</v>
      </c>
      <c r="C18" s="18">
        <v>136</v>
      </c>
      <c r="D18" s="18">
        <v>135</v>
      </c>
    </row>
    <row r="19" spans="1:8" x14ac:dyDescent="0.25">
      <c r="A19" s="4" t="s">
        <v>30</v>
      </c>
      <c r="B19" s="4"/>
      <c r="C19" s="4"/>
      <c r="D19" s="4"/>
      <c r="G19" t="s">
        <v>265</v>
      </c>
    </row>
    <row r="20" spans="1:8" x14ac:dyDescent="0.25">
      <c r="A20" s="20" t="s">
        <v>193</v>
      </c>
      <c r="B20" s="20">
        <v>173</v>
      </c>
      <c r="C20" s="20">
        <v>191</v>
      </c>
      <c r="D20" s="20">
        <v>175</v>
      </c>
      <c r="G20" t="s">
        <v>266</v>
      </c>
    </row>
    <row r="21" spans="1:8" x14ac:dyDescent="0.25">
      <c r="A21" s="4" t="s">
        <v>194</v>
      </c>
      <c r="B21" s="4"/>
      <c r="C21" s="4"/>
      <c r="D21" s="4"/>
      <c r="G21" t="s">
        <v>267</v>
      </c>
    </row>
    <row r="22" spans="1:8" x14ac:dyDescent="0.25">
      <c r="A22" s="20" t="s">
        <v>210</v>
      </c>
      <c r="B22" s="21">
        <v>44.58</v>
      </c>
      <c r="C22" s="21">
        <v>46.96</v>
      </c>
      <c r="D22" s="21">
        <v>46.11</v>
      </c>
    </row>
    <row r="23" spans="1:8" ht="15.75" thickBot="1" x14ac:dyDescent="0.3">
      <c r="A23" s="4" t="s">
        <v>211</v>
      </c>
      <c r="B23" s="4"/>
      <c r="C23" s="4"/>
      <c r="D23" s="4"/>
      <c r="G23" t="s">
        <v>268</v>
      </c>
    </row>
    <row r="24" spans="1:8" ht="16.5" thickTop="1" thickBot="1" x14ac:dyDescent="0.3">
      <c r="A24" s="25" t="s">
        <v>33</v>
      </c>
      <c r="B24" s="29">
        <v>3813</v>
      </c>
      <c r="C24" s="29">
        <v>3989</v>
      </c>
      <c r="D24" s="29">
        <v>3919</v>
      </c>
      <c r="G24" t="s">
        <v>269</v>
      </c>
    </row>
    <row r="25" spans="1:8" ht="15.75" thickTop="1" x14ac:dyDescent="0.25">
      <c r="A25" s="4" t="s">
        <v>171</v>
      </c>
      <c r="B25" s="4"/>
      <c r="C25" s="4"/>
      <c r="D25" s="4"/>
      <c r="G25" t="s">
        <v>270</v>
      </c>
    </row>
    <row r="26" spans="1:8" x14ac:dyDescent="0.25">
      <c r="A26" s="18" t="s">
        <v>225</v>
      </c>
      <c r="B26" s="19">
        <v>50706</v>
      </c>
      <c r="C26" s="19">
        <v>53932</v>
      </c>
      <c r="D26" s="19">
        <v>52463</v>
      </c>
    </row>
    <row r="27" spans="1:8" x14ac:dyDescent="0.25">
      <c r="A27" s="4" t="s">
        <v>36</v>
      </c>
      <c r="B27" s="4"/>
      <c r="C27" s="4"/>
      <c r="D27" s="4"/>
      <c r="G27" t="s">
        <v>271</v>
      </c>
    </row>
    <row r="28" spans="1:8" x14ac:dyDescent="0.25">
      <c r="A28" s="18" t="s">
        <v>37</v>
      </c>
      <c r="B28" s="19">
        <v>22102</v>
      </c>
      <c r="C28" s="19">
        <v>23411</v>
      </c>
      <c r="D28" s="19">
        <v>22885</v>
      </c>
      <c r="G28" t="s">
        <v>272</v>
      </c>
    </row>
    <row r="29" spans="1:8" x14ac:dyDescent="0.25">
      <c r="A29" s="4" t="s">
        <v>38</v>
      </c>
      <c r="B29" s="4"/>
      <c r="C29" s="4"/>
      <c r="D29" s="4"/>
    </row>
    <row r="30" spans="1:8" x14ac:dyDescent="0.25">
      <c r="A30" s="20" t="s">
        <v>39</v>
      </c>
      <c r="B30" s="21">
        <v>22.75</v>
      </c>
      <c r="C30" s="21">
        <v>31.56</v>
      </c>
      <c r="D30" s="21">
        <v>26.61</v>
      </c>
      <c r="G30" t="s">
        <v>273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274</v>
      </c>
    </row>
    <row r="32" spans="1:8" ht="16.5" thickTop="1" thickBot="1" x14ac:dyDescent="0.3">
      <c r="A32" s="23" t="s">
        <v>41</v>
      </c>
      <c r="B32" s="23">
        <v>99.34</v>
      </c>
      <c r="C32" s="23">
        <v>100.77</v>
      </c>
      <c r="D32" s="23">
        <v>99.96</v>
      </c>
      <c r="E32" t="s">
        <v>213</v>
      </c>
    </row>
    <row r="33" spans="1:7" ht="16.5" thickTop="1" thickBot="1" x14ac:dyDescent="0.3">
      <c r="A33" s="4" t="s">
        <v>42</v>
      </c>
      <c r="B33" s="4"/>
      <c r="C33" s="4"/>
      <c r="D33" s="4"/>
      <c r="G33" t="s">
        <v>275</v>
      </c>
    </row>
    <row r="34" spans="1:7" ht="16.5" thickTop="1" thickBot="1" x14ac:dyDescent="0.3">
      <c r="A34" s="25" t="s">
        <v>43</v>
      </c>
      <c r="B34" s="25">
        <v>1.145</v>
      </c>
      <c r="C34" s="25">
        <v>1.1619999999999999</v>
      </c>
      <c r="D34" s="25">
        <v>1.153</v>
      </c>
      <c r="G34" t="s">
        <v>276</v>
      </c>
    </row>
    <row r="35" spans="1:7" ht="15.75" thickTop="1" x14ac:dyDescent="0.25">
      <c r="A35" s="4" t="s">
        <v>44</v>
      </c>
      <c r="B35" s="4"/>
      <c r="C35" s="4"/>
      <c r="D35" s="4"/>
    </row>
    <row r="36" spans="1:7" x14ac:dyDescent="0.25">
      <c r="A36" s="20" t="s">
        <v>45</v>
      </c>
      <c r="B36" s="20">
        <v>158.51</v>
      </c>
      <c r="C36" s="20">
        <v>160.9</v>
      </c>
      <c r="D36" s="20">
        <v>159.6</v>
      </c>
      <c r="G36" t="s">
        <v>277</v>
      </c>
    </row>
    <row r="37" spans="1:7" x14ac:dyDescent="0.25">
      <c r="A37" s="4" t="s">
        <v>46</v>
      </c>
      <c r="B37" s="4"/>
      <c r="C37" s="4"/>
      <c r="D37" s="4"/>
      <c r="G37" t="s">
        <v>278</v>
      </c>
    </row>
    <row r="38" spans="1:7" x14ac:dyDescent="0.25">
      <c r="A38" s="18" t="s">
        <v>47</v>
      </c>
      <c r="B38" s="18">
        <v>1.3120000000000001</v>
      </c>
      <c r="C38" s="18">
        <v>1.3420000000000001</v>
      </c>
      <c r="D38" s="18">
        <v>1.32</v>
      </c>
    </row>
    <row r="39" spans="1:7" x14ac:dyDescent="0.25">
      <c r="A39" s="4" t="s">
        <v>48</v>
      </c>
      <c r="B39" s="4"/>
      <c r="C39" s="4"/>
      <c r="D39" s="4"/>
      <c r="G39" t="s">
        <v>279</v>
      </c>
    </row>
    <row r="40" spans="1:7" x14ac:dyDescent="0.25">
      <c r="A40" s="18" t="s">
        <v>49</v>
      </c>
      <c r="B40" s="18">
        <v>0.71199999999999997</v>
      </c>
      <c r="C40" s="18">
        <v>0.72499999999999998</v>
      </c>
      <c r="D40" s="18">
        <v>0.71899999999999997</v>
      </c>
      <c r="G40" t="s">
        <v>280</v>
      </c>
    </row>
    <row r="41" spans="1:7" x14ac:dyDescent="0.25">
      <c r="A41" s="4" t="s">
        <v>50</v>
      </c>
      <c r="B41" s="4"/>
      <c r="C41" s="4"/>
      <c r="D41" s="4"/>
    </row>
    <row r="42" spans="1:7" x14ac:dyDescent="0.25">
      <c r="A42" s="20" t="s">
        <v>124</v>
      </c>
      <c r="B42" s="20">
        <v>96.09</v>
      </c>
      <c r="C42" s="20">
        <v>108.28</v>
      </c>
      <c r="D42" s="20">
        <v>107.98</v>
      </c>
      <c r="E42" s="40" t="s">
        <v>212</v>
      </c>
      <c r="G42" t="s">
        <v>281</v>
      </c>
    </row>
    <row r="43" spans="1:7" x14ac:dyDescent="0.25">
      <c r="A43" s="4" t="s">
        <v>52</v>
      </c>
      <c r="B43" s="4"/>
      <c r="C43" s="4"/>
      <c r="D43" s="4"/>
      <c r="G43" t="s">
        <v>282</v>
      </c>
    </row>
    <row r="44" spans="1:7" x14ac:dyDescent="0.25">
      <c r="A44" s="20" t="s">
        <v>125</v>
      </c>
      <c r="B44" s="20">
        <v>102</v>
      </c>
      <c r="C44" s="20">
        <v>117</v>
      </c>
      <c r="D44" s="20">
        <v>109</v>
      </c>
      <c r="G44" t="s">
        <v>283</v>
      </c>
    </row>
    <row r="45" spans="1:7" x14ac:dyDescent="0.25">
      <c r="A45" s="4" t="s">
        <v>54</v>
      </c>
      <c r="B45" s="4"/>
      <c r="C45" s="4"/>
      <c r="D45" s="4"/>
    </row>
    <row r="46" spans="1:7" x14ac:dyDescent="0.25">
      <c r="A46" s="18" t="s">
        <v>116</v>
      </c>
      <c r="B46" s="19">
        <v>2.75</v>
      </c>
      <c r="C46" s="19">
        <v>3.09</v>
      </c>
      <c r="D46" s="19">
        <v>2.85</v>
      </c>
    </row>
    <row r="47" spans="1:7" x14ac:dyDescent="0.25">
      <c r="A47" s="4" t="s">
        <v>56</v>
      </c>
      <c r="B47" s="4"/>
      <c r="C47" s="4"/>
      <c r="D47" s="4"/>
    </row>
    <row r="48" spans="1:7" ht="45" x14ac:dyDescent="0.25">
      <c r="A48" s="26" t="s">
        <v>251</v>
      </c>
      <c r="B48" s="28">
        <v>4272</v>
      </c>
      <c r="C48" s="28">
        <v>4784</v>
      </c>
      <c r="D48" s="28">
        <v>4647</v>
      </c>
      <c r="E48" s="40" t="s">
        <v>252</v>
      </c>
    </row>
    <row r="49" spans="1:6" x14ac:dyDescent="0.25">
      <c r="A49" s="4" t="s">
        <v>58</v>
      </c>
      <c r="B49" s="4"/>
      <c r="C49" s="4"/>
      <c r="D49" s="4"/>
    </row>
    <row r="50" spans="1:6" x14ac:dyDescent="0.25">
      <c r="A50" s="18" t="s">
        <v>232</v>
      </c>
      <c r="B50" s="19">
        <v>5.3</v>
      </c>
      <c r="C50" s="19">
        <v>5.64</v>
      </c>
      <c r="D50" s="19">
        <v>5.56</v>
      </c>
    </row>
    <row r="51" spans="1:6" ht="15.75" thickBot="1" x14ac:dyDescent="0.3">
      <c r="A51" s="4" t="s">
        <v>185</v>
      </c>
      <c r="B51" s="4"/>
      <c r="C51" s="4"/>
      <c r="D51" s="4"/>
    </row>
    <row r="52" spans="1:6" ht="16.5" thickTop="1" thickBot="1" x14ac:dyDescent="0.3">
      <c r="A52" s="25" t="s">
        <v>242</v>
      </c>
      <c r="B52" s="25">
        <v>64</v>
      </c>
      <c r="C52" s="25">
        <v>76</v>
      </c>
      <c r="D52" s="25">
        <v>71</v>
      </c>
      <c r="E52" t="s">
        <v>235</v>
      </c>
      <c r="F52" t="s">
        <v>250</v>
      </c>
    </row>
    <row r="53" spans="1:6" ht="15.75" thickTop="1" x14ac:dyDescent="0.25">
      <c r="A53" s="4" t="s">
        <v>62</v>
      </c>
      <c r="B53" s="4"/>
      <c r="C53" s="4"/>
      <c r="D53" s="4"/>
    </row>
    <row r="54" spans="1:6" x14ac:dyDescent="0.25">
      <c r="A54" s="18" t="s">
        <v>63</v>
      </c>
      <c r="B54" s="18">
        <v>351</v>
      </c>
      <c r="C54" s="18">
        <v>385</v>
      </c>
      <c r="D54" s="18">
        <v>369</v>
      </c>
    </row>
    <row r="55" spans="1:6" x14ac:dyDescent="0.25">
      <c r="A55" s="4" t="s">
        <v>64</v>
      </c>
      <c r="B55" s="4"/>
      <c r="C55" s="4"/>
      <c r="D55" s="4"/>
    </row>
    <row r="56" spans="1:6" x14ac:dyDescent="0.25">
      <c r="A56" s="18" t="s">
        <v>121</v>
      </c>
      <c r="B56" s="18">
        <v>244</v>
      </c>
      <c r="C56" s="18">
        <v>256</v>
      </c>
      <c r="D56" s="18">
        <v>256</v>
      </c>
    </row>
    <row r="57" spans="1:6" x14ac:dyDescent="0.25">
      <c r="A57" s="4" t="s">
        <v>66</v>
      </c>
      <c r="B57" s="4"/>
      <c r="C57" s="4"/>
      <c r="D57" s="4"/>
    </row>
    <row r="58" spans="1:6" x14ac:dyDescent="0.25">
      <c r="A58" s="18" t="s">
        <v>67</v>
      </c>
      <c r="B58" s="18">
        <v>197</v>
      </c>
      <c r="C58" s="18">
        <v>214</v>
      </c>
      <c r="D58" s="18">
        <v>211</v>
      </c>
    </row>
    <row r="59" spans="1:6" x14ac:dyDescent="0.25">
      <c r="A59" s="4" t="s">
        <v>68</v>
      </c>
      <c r="B59" s="4"/>
      <c r="C59" s="4"/>
      <c r="D59" s="4"/>
    </row>
    <row r="60" spans="1:6" x14ac:dyDescent="0.25">
      <c r="A60" s="18" t="s">
        <v>69</v>
      </c>
      <c r="B60" s="18">
        <v>517</v>
      </c>
      <c r="C60" s="18">
        <v>595</v>
      </c>
      <c r="D60" s="18">
        <v>579</v>
      </c>
    </row>
    <row r="61" spans="1:6" x14ac:dyDescent="0.25">
      <c r="A61" t="s">
        <v>70</v>
      </c>
    </row>
    <row r="62" spans="1:6" x14ac:dyDescent="0.25">
      <c r="A62" s="18" t="s">
        <v>192</v>
      </c>
      <c r="B62" s="18">
        <v>267</v>
      </c>
      <c r="C62" s="18">
        <v>301</v>
      </c>
      <c r="D62" s="18">
        <v>297</v>
      </c>
      <c r="E62" s="40" t="s">
        <v>198</v>
      </c>
    </row>
    <row r="63" spans="1:6" x14ac:dyDescent="0.25">
      <c r="A63" s="4" t="s">
        <v>72</v>
      </c>
      <c r="B63" s="4"/>
      <c r="C63" s="4"/>
      <c r="D63" s="4"/>
    </row>
    <row r="64" spans="1:6" x14ac:dyDescent="0.25">
      <c r="A64" s="20" t="s">
        <v>201</v>
      </c>
      <c r="B64" s="20">
        <v>91</v>
      </c>
      <c r="C64" s="20">
        <v>98</v>
      </c>
      <c r="D64" s="20">
        <v>96</v>
      </c>
    </row>
    <row r="65" spans="1:6" ht="15.75" thickBot="1" x14ac:dyDescent="0.3">
      <c r="A65" s="4" t="s">
        <v>74</v>
      </c>
      <c r="B65" s="4"/>
      <c r="C65" s="4"/>
      <c r="D65" s="4"/>
    </row>
    <row r="66" spans="1:6" ht="16.5" thickTop="1" thickBot="1" x14ac:dyDescent="0.3">
      <c r="A66" s="25" t="s">
        <v>75</v>
      </c>
      <c r="B66" s="25">
        <v>352</v>
      </c>
      <c r="C66" s="25">
        <v>388</v>
      </c>
      <c r="D66" s="25">
        <v>381</v>
      </c>
    </row>
    <row r="67" spans="1:6" ht="15.75" thickTop="1" x14ac:dyDescent="0.25">
      <c r="A67" s="4" t="s">
        <v>76</v>
      </c>
      <c r="B67" s="4"/>
      <c r="C67" s="4"/>
      <c r="D67" s="4"/>
    </row>
    <row r="68" spans="1:6" x14ac:dyDescent="0.25">
      <c r="A68" s="18" t="s">
        <v>88</v>
      </c>
      <c r="B68" s="18">
        <v>163</v>
      </c>
      <c r="C68" s="18">
        <v>178</v>
      </c>
      <c r="D68" s="18">
        <v>176</v>
      </c>
    </row>
    <row r="69" spans="1:6" x14ac:dyDescent="0.25">
      <c r="A69" s="4" t="s">
        <v>78</v>
      </c>
      <c r="B69" s="4"/>
      <c r="C69" s="4"/>
      <c r="D69" s="4"/>
    </row>
    <row r="70" spans="1:6" x14ac:dyDescent="0.25">
      <c r="A70" s="18" t="s">
        <v>79</v>
      </c>
      <c r="B70" s="19">
        <v>136</v>
      </c>
      <c r="C70" s="19">
        <v>151</v>
      </c>
      <c r="D70" s="19">
        <v>145</v>
      </c>
    </row>
    <row r="71" spans="1:6" x14ac:dyDescent="0.25">
      <c r="A71" s="4" t="s">
        <v>80</v>
      </c>
      <c r="B71" s="4"/>
      <c r="C71" s="4"/>
      <c r="D71" s="4"/>
    </row>
    <row r="72" spans="1:6" x14ac:dyDescent="0.25">
      <c r="A72" s="18" t="s">
        <v>81</v>
      </c>
      <c r="B72" s="19">
        <v>64241</v>
      </c>
      <c r="C72" s="19">
        <v>69940</v>
      </c>
      <c r="D72" s="19">
        <v>66395</v>
      </c>
      <c r="E72" s="40" t="s">
        <v>223</v>
      </c>
      <c r="F72" t="s">
        <v>228</v>
      </c>
    </row>
    <row r="73" spans="1:6" x14ac:dyDescent="0.25">
      <c r="A73" s="39" t="s">
        <v>82</v>
      </c>
      <c r="B73" s="39"/>
      <c r="C73" s="39"/>
      <c r="D73" s="39"/>
    </row>
    <row r="74" spans="1:6" ht="23.25" x14ac:dyDescent="0.35">
      <c r="A74" s="32" t="s">
        <v>164</v>
      </c>
    </row>
    <row r="75" spans="1:6" ht="30" x14ac:dyDescent="0.25">
      <c r="A75" s="31" t="s">
        <v>237</v>
      </c>
    </row>
    <row r="76" spans="1:6" ht="30" x14ac:dyDescent="0.25">
      <c r="A76" s="31" t="s">
        <v>187</v>
      </c>
    </row>
    <row r="77" spans="1:6" ht="45" x14ac:dyDescent="0.25">
      <c r="A77" s="31" t="s">
        <v>243</v>
      </c>
    </row>
    <row r="78" spans="1:6" ht="30" x14ac:dyDescent="0.25">
      <c r="A78" s="31" t="s">
        <v>188</v>
      </c>
    </row>
    <row r="79" spans="1:6" ht="45" x14ac:dyDescent="0.25">
      <c r="A79" s="31" t="s">
        <v>244</v>
      </c>
    </row>
    <row r="80" spans="1:6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B48A-8C42-4F0A-B97B-C2C9971208F5}">
  <dimension ref="A1:H86"/>
  <sheetViews>
    <sheetView topLeftCell="A46" workbookViewId="0">
      <selection activeCell="G17" sqref="G17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4.87</v>
      </c>
      <c r="C2" s="20">
        <v>4.99</v>
      </c>
      <c r="D2" s="20">
        <v>4.91</v>
      </c>
      <c r="G2" t="s">
        <v>253</v>
      </c>
    </row>
    <row r="3" spans="1:8" x14ac:dyDescent="0.25">
      <c r="A3" s="4" t="s">
        <v>14</v>
      </c>
      <c r="B3" s="4"/>
      <c r="C3" s="4"/>
      <c r="D3" s="4"/>
      <c r="G3" t="s">
        <v>254</v>
      </c>
    </row>
    <row r="4" spans="1:8" x14ac:dyDescent="0.25">
      <c r="A4" s="20" t="s">
        <v>127</v>
      </c>
      <c r="B4" s="20">
        <v>4.26</v>
      </c>
      <c r="C4" s="20">
        <v>4.47</v>
      </c>
      <c r="D4" s="20">
        <v>4.3499999999999996</v>
      </c>
      <c r="E4" s="40" t="s">
        <v>220</v>
      </c>
      <c r="G4" t="s">
        <v>285</v>
      </c>
    </row>
    <row r="5" spans="1:8" x14ac:dyDescent="0.25">
      <c r="A5" s="4" t="s">
        <v>16</v>
      </c>
      <c r="B5" s="4"/>
      <c r="C5" s="4"/>
      <c r="D5" s="4"/>
      <c r="G5" t="s">
        <v>286</v>
      </c>
    </row>
    <row r="6" spans="1:8" x14ac:dyDescent="0.25">
      <c r="A6" s="20" t="s">
        <v>224</v>
      </c>
      <c r="B6" s="20">
        <v>3.74</v>
      </c>
      <c r="C6" s="20">
        <v>4.01</v>
      </c>
      <c r="D6" s="20">
        <v>3.84</v>
      </c>
      <c r="G6" t="s">
        <v>287</v>
      </c>
    </row>
    <row r="7" spans="1:8" x14ac:dyDescent="0.25">
      <c r="A7" s="4" t="s">
        <v>18</v>
      </c>
      <c r="B7" s="4"/>
      <c r="C7" s="4"/>
      <c r="D7" s="4"/>
      <c r="G7" t="s">
        <v>258</v>
      </c>
    </row>
    <row r="8" spans="1:8" x14ac:dyDescent="0.25">
      <c r="A8" s="18" t="s">
        <v>208</v>
      </c>
      <c r="B8" s="18">
        <v>78.31</v>
      </c>
      <c r="C8" s="18">
        <v>79.75</v>
      </c>
      <c r="D8" s="18">
        <v>79.56</v>
      </c>
      <c r="G8" t="s">
        <v>259</v>
      </c>
      <c r="H8" s="33"/>
    </row>
    <row r="9" spans="1:8" x14ac:dyDescent="0.25">
      <c r="A9" s="4" t="s">
        <v>20</v>
      </c>
      <c r="B9" s="4"/>
      <c r="C9" s="4"/>
      <c r="D9" s="4"/>
      <c r="G9" t="s">
        <v>288</v>
      </c>
    </row>
    <row r="10" spans="1:8" x14ac:dyDescent="0.25">
      <c r="A10" s="18" t="s">
        <v>229</v>
      </c>
      <c r="B10" s="18">
        <v>106.9</v>
      </c>
      <c r="C10" s="18">
        <v>109.4</v>
      </c>
      <c r="D10" s="18">
        <v>109.1</v>
      </c>
      <c r="G10" t="s">
        <v>289</v>
      </c>
    </row>
    <row r="11" spans="1:8" x14ac:dyDescent="0.25">
      <c r="A11" s="4" t="s">
        <v>22</v>
      </c>
      <c r="B11" s="4"/>
      <c r="C11" s="4"/>
      <c r="D11" s="4"/>
      <c r="G11" t="s">
        <v>290</v>
      </c>
    </row>
    <row r="12" spans="1:8" x14ac:dyDescent="0.25">
      <c r="A12" s="18" t="s">
        <v>209</v>
      </c>
      <c r="B12" s="19">
        <v>6322</v>
      </c>
      <c r="C12" s="19">
        <v>6652</v>
      </c>
      <c r="D12" s="19">
        <v>6583</v>
      </c>
      <c r="E12" s="40" t="s">
        <v>240</v>
      </c>
      <c r="G12" t="s">
        <v>291</v>
      </c>
    </row>
    <row r="13" spans="1:8" ht="15.75" thickBot="1" x14ac:dyDescent="0.3">
      <c r="A13" s="4" t="s">
        <v>24</v>
      </c>
      <c r="B13" s="4"/>
      <c r="C13" s="4"/>
      <c r="D13" s="4"/>
    </row>
    <row r="14" spans="1:8" ht="16.5" thickTop="1" thickBot="1" x14ac:dyDescent="0.3">
      <c r="A14" s="25" t="s">
        <v>25</v>
      </c>
      <c r="B14" s="29">
        <v>20712</v>
      </c>
      <c r="C14" s="29">
        <v>22176</v>
      </c>
      <c r="D14" s="29">
        <v>21879</v>
      </c>
      <c r="G14" t="s">
        <v>292</v>
      </c>
    </row>
    <row r="15" spans="1:8" ht="15.75" thickTop="1" x14ac:dyDescent="0.25">
      <c r="A15" s="4" t="s">
        <v>26</v>
      </c>
      <c r="B15" s="4"/>
      <c r="C15" s="4"/>
      <c r="D15" s="4"/>
      <c r="G15" t="s">
        <v>293</v>
      </c>
    </row>
    <row r="16" spans="1:8" x14ac:dyDescent="0.25">
      <c r="A16" s="18" t="s">
        <v>27</v>
      </c>
      <c r="B16" s="19">
        <v>2421</v>
      </c>
      <c r="C16" s="19">
        <v>2553</v>
      </c>
      <c r="D16" s="19">
        <v>2530</v>
      </c>
      <c r="G16" s="42" t="s">
        <v>291</v>
      </c>
    </row>
    <row r="17" spans="1:8" x14ac:dyDescent="0.25">
      <c r="A17" s="4" t="s">
        <v>28</v>
      </c>
      <c r="B17" s="4"/>
      <c r="C17" s="4"/>
      <c r="D17" s="4"/>
    </row>
    <row r="18" spans="1:8" x14ac:dyDescent="0.25">
      <c r="A18" s="18" t="s">
        <v>29</v>
      </c>
      <c r="B18" s="18">
        <v>127</v>
      </c>
      <c r="C18" s="18">
        <v>137</v>
      </c>
      <c r="D18" s="18">
        <v>136</v>
      </c>
      <c r="G18" t="s">
        <v>294</v>
      </c>
    </row>
    <row r="19" spans="1:8" x14ac:dyDescent="0.25">
      <c r="A19" s="4" t="s">
        <v>30</v>
      </c>
      <c r="B19" s="4"/>
      <c r="C19" s="4"/>
      <c r="D19" s="4"/>
      <c r="G19" t="s">
        <v>295</v>
      </c>
    </row>
    <row r="20" spans="1:8" x14ac:dyDescent="0.25">
      <c r="A20" s="20" t="s">
        <v>193</v>
      </c>
      <c r="B20" s="20">
        <v>172</v>
      </c>
      <c r="C20" s="20">
        <v>191</v>
      </c>
      <c r="D20" s="20">
        <v>178</v>
      </c>
      <c r="G20" t="s">
        <v>291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44.62</v>
      </c>
      <c r="C22" s="21">
        <v>46.96</v>
      </c>
      <c r="D22" s="21">
        <v>46.34</v>
      </c>
      <c r="G22" t="s">
        <v>296</v>
      </c>
    </row>
    <row r="23" spans="1:8" ht="15.75" thickBot="1" x14ac:dyDescent="0.3">
      <c r="A23" s="4" t="s">
        <v>211</v>
      </c>
      <c r="B23" s="4"/>
      <c r="C23" s="4"/>
      <c r="D23" s="4"/>
      <c r="G23" t="s">
        <v>297</v>
      </c>
    </row>
    <row r="24" spans="1:8" ht="16.5" thickTop="1" thickBot="1" x14ac:dyDescent="0.3">
      <c r="A24" s="25" t="s">
        <v>33</v>
      </c>
      <c r="B24" s="29">
        <v>3813</v>
      </c>
      <c r="C24" s="29">
        <v>3989</v>
      </c>
      <c r="D24" s="29">
        <v>3880</v>
      </c>
      <c r="G24" t="s">
        <v>291</v>
      </c>
    </row>
    <row r="25" spans="1:8" ht="15.75" thickTop="1" x14ac:dyDescent="0.25">
      <c r="A25" s="4" t="s">
        <v>171</v>
      </c>
      <c r="B25" s="4"/>
      <c r="C25" s="4"/>
      <c r="D25" s="4"/>
    </row>
    <row r="26" spans="1:8" x14ac:dyDescent="0.25">
      <c r="A26" s="18" t="s">
        <v>225</v>
      </c>
      <c r="B26" s="19">
        <v>51006</v>
      </c>
      <c r="C26" s="19">
        <v>53796</v>
      </c>
      <c r="D26" s="19">
        <v>53414</v>
      </c>
      <c r="G26" t="s">
        <v>298</v>
      </c>
    </row>
    <row r="27" spans="1:8" x14ac:dyDescent="0.25">
      <c r="A27" s="4" t="s">
        <v>36</v>
      </c>
      <c r="B27" s="4"/>
      <c r="C27" s="4"/>
      <c r="D27" s="4"/>
      <c r="G27" t="s">
        <v>299</v>
      </c>
    </row>
    <row r="28" spans="1:8" x14ac:dyDescent="0.25">
      <c r="A28" s="18" t="s">
        <v>37</v>
      </c>
      <c r="B28" s="19">
        <v>22127</v>
      </c>
      <c r="C28" s="19">
        <v>23455</v>
      </c>
      <c r="D28" s="19">
        <v>23168</v>
      </c>
      <c r="G28" t="s">
        <v>300</v>
      </c>
    </row>
    <row r="29" spans="1:8" x14ac:dyDescent="0.25">
      <c r="A29" s="4" t="s">
        <v>38</v>
      </c>
      <c r="B29" s="4"/>
      <c r="C29" s="4"/>
      <c r="D29" s="4"/>
    </row>
    <row r="30" spans="1:8" x14ac:dyDescent="0.25">
      <c r="A30" s="20" t="s">
        <v>39</v>
      </c>
      <c r="B30" s="21">
        <v>22.11</v>
      </c>
      <c r="C30" s="21">
        <v>31.67</v>
      </c>
      <c r="D30" s="21">
        <v>24.6</v>
      </c>
      <c r="G30" t="s">
        <v>301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302</v>
      </c>
    </row>
    <row r="32" spans="1:8" ht="16.5" thickTop="1" thickBot="1" x14ac:dyDescent="0.3">
      <c r="A32" s="23" t="s">
        <v>41</v>
      </c>
      <c r="B32" s="23">
        <v>99.4</v>
      </c>
      <c r="C32" s="23">
        <v>100.62</v>
      </c>
      <c r="D32" s="23">
        <v>99.72</v>
      </c>
      <c r="E32" t="s">
        <v>213</v>
      </c>
      <c r="G32" t="s">
        <v>303</v>
      </c>
    </row>
    <row r="33" spans="1:7" ht="16.5" thickTop="1" thickBot="1" x14ac:dyDescent="0.3">
      <c r="A33" s="4" t="s">
        <v>42</v>
      </c>
      <c r="B33" s="4"/>
      <c r="C33" s="4"/>
      <c r="D33" s="4"/>
    </row>
    <row r="34" spans="1:7" ht="16.5" thickTop="1" thickBot="1" x14ac:dyDescent="0.3">
      <c r="A34" s="25" t="s">
        <v>43</v>
      </c>
      <c r="B34" s="25">
        <v>1.145</v>
      </c>
      <c r="C34" s="25">
        <v>1.1619999999999999</v>
      </c>
      <c r="D34" s="25">
        <v>1.155</v>
      </c>
      <c r="G34" t="s">
        <v>304</v>
      </c>
    </row>
    <row r="35" spans="1:7" ht="15.75" thickTop="1" x14ac:dyDescent="0.25">
      <c r="A35" s="4" t="s">
        <v>44</v>
      </c>
      <c r="B35" s="4"/>
      <c r="C35" s="4"/>
      <c r="D35" s="4"/>
      <c r="G35" t="s">
        <v>305</v>
      </c>
    </row>
    <row r="36" spans="1:7" x14ac:dyDescent="0.25">
      <c r="A36" s="20" t="s">
        <v>45</v>
      </c>
      <c r="B36" s="20">
        <v>158.44</v>
      </c>
      <c r="C36" s="20">
        <v>160.66999999999999</v>
      </c>
      <c r="D36" s="20">
        <v>159.44999999999999</v>
      </c>
      <c r="G36" t="s">
        <v>303</v>
      </c>
    </row>
    <row r="37" spans="1:7" x14ac:dyDescent="0.25">
      <c r="A37" s="4" t="s">
        <v>46</v>
      </c>
      <c r="B37" s="4"/>
      <c r="C37" s="4"/>
      <c r="D37" s="4"/>
    </row>
    <row r="38" spans="1:7" x14ac:dyDescent="0.25">
      <c r="A38" s="18" t="s">
        <v>47</v>
      </c>
      <c r="B38" s="18">
        <v>1.3129999999999999</v>
      </c>
      <c r="C38" s="18">
        <v>1.3380000000000001</v>
      </c>
      <c r="D38" s="18">
        <v>1.325</v>
      </c>
      <c r="G38" t="s">
        <v>306</v>
      </c>
    </row>
    <row r="39" spans="1:7" x14ac:dyDescent="0.25">
      <c r="A39" s="4" t="s">
        <v>48</v>
      </c>
      <c r="B39" s="4"/>
      <c r="C39" s="4"/>
      <c r="D39" s="4"/>
      <c r="G39" t="s">
        <v>307</v>
      </c>
    </row>
    <row r="40" spans="1:7" x14ac:dyDescent="0.25">
      <c r="A40" s="18" t="s">
        <v>49</v>
      </c>
      <c r="B40" s="18">
        <v>0.71399999999999997</v>
      </c>
      <c r="C40" s="18">
        <v>0.72499999999999998</v>
      </c>
      <c r="D40" s="18">
        <v>0.71799999999999997</v>
      </c>
    </row>
    <row r="41" spans="1:7" x14ac:dyDescent="0.25">
      <c r="A41" s="4" t="s">
        <v>50</v>
      </c>
      <c r="B41" s="4"/>
      <c r="C41" s="4"/>
      <c r="D41" s="4"/>
      <c r="G41" t="s">
        <v>308</v>
      </c>
    </row>
    <row r="42" spans="1:7" x14ac:dyDescent="0.25">
      <c r="A42" s="20" t="s">
        <v>124</v>
      </c>
      <c r="B42" s="20">
        <v>90.9</v>
      </c>
      <c r="C42" s="20">
        <v>112.64</v>
      </c>
      <c r="D42" s="20">
        <v>110.01</v>
      </c>
      <c r="E42" s="40" t="s">
        <v>212</v>
      </c>
      <c r="G42" t="s">
        <v>309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98</v>
      </c>
      <c r="C44" s="20">
        <v>115</v>
      </c>
      <c r="D44" s="20">
        <v>107</v>
      </c>
      <c r="G44" t="s">
        <v>310</v>
      </c>
    </row>
    <row r="45" spans="1:7" x14ac:dyDescent="0.25">
      <c r="A45" s="4" t="s">
        <v>54</v>
      </c>
      <c r="B45" s="4"/>
      <c r="C45" s="4"/>
      <c r="D45" s="4"/>
      <c r="G45" t="s">
        <v>311</v>
      </c>
    </row>
    <row r="46" spans="1:7" x14ac:dyDescent="0.25">
      <c r="A46" s="18" t="s">
        <v>116</v>
      </c>
      <c r="B46" s="19">
        <v>2.75</v>
      </c>
      <c r="C46" s="19">
        <v>3.04</v>
      </c>
      <c r="D46" s="19">
        <v>2.83</v>
      </c>
    </row>
    <row r="47" spans="1:7" x14ac:dyDescent="0.25">
      <c r="A47" s="4" t="s">
        <v>56</v>
      </c>
      <c r="B47" s="4"/>
      <c r="C47" s="4"/>
      <c r="D47" s="4"/>
      <c r="G47" t="s">
        <v>312</v>
      </c>
    </row>
    <row r="48" spans="1:7" ht="45" x14ac:dyDescent="0.25">
      <c r="A48" s="20" t="s">
        <v>57</v>
      </c>
      <c r="B48" s="21">
        <v>4295</v>
      </c>
      <c r="C48" s="21">
        <v>4796</v>
      </c>
      <c r="D48" s="21">
        <v>4729</v>
      </c>
      <c r="E48" s="40" t="s">
        <v>252</v>
      </c>
      <c r="G48" t="s">
        <v>313</v>
      </c>
    </row>
    <row r="49" spans="1:7" x14ac:dyDescent="0.25">
      <c r="A49" s="4" t="s">
        <v>58</v>
      </c>
      <c r="B49" s="4"/>
      <c r="C49" s="4"/>
      <c r="D49" s="4"/>
    </row>
    <row r="50" spans="1:7" x14ac:dyDescent="0.25">
      <c r="A50" s="18" t="s">
        <v>232</v>
      </c>
      <c r="B50" s="19">
        <v>5.32</v>
      </c>
      <c r="C50" s="19">
        <v>5.69</v>
      </c>
      <c r="D50" s="19">
        <v>5.68</v>
      </c>
      <c r="G50" t="s">
        <v>314</v>
      </c>
    </row>
    <row r="51" spans="1:7" ht="15.75" thickBot="1" x14ac:dyDescent="0.3">
      <c r="A51" s="4" t="s">
        <v>185</v>
      </c>
      <c r="B51" s="4"/>
      <c r="C51" s="4"/>
      <c r="D51" s="4"/>
      <c r="G51" t="s">
        <v>315</v>
      </c>
    </row>
    <row r="52" spans="1:7" ht="16.5" thickTop="1" thickBot="1" x14ac:dyDescent="0.3">
      <c r="A52" s="25" t="s">
        <v>242</v>
      </c>
      <c r="B52" s="25">
        <v>65</v>
      </c>
      <c r="C52" s="25">
        <v>76</v>
      </c>
      <c r="D52" s="25">
        <v>74</v>
      </c>
      <c r="E52" t="s">
        <v>235</v>
      </c>
      <c r="F52" t="s">
        <v>250</v>
      </c>
    </row>
    <row r="53" spans="1:7" ht="15.75" thickTop="1" x14ac:dyDescent="0.25">
      <c r="A53" s="4" t="s">
        <v>62</v>
      </c>
      <c r="B53" s="4"/>
      <c r="C53" s="4"/>
      <c r="D53" s="4"/>
      <c r="G53" t="s">
        <v>316</v>
      </c>
    </row>
    <row r="54" spans="1:7" x14ac:dyDescent="0.25">
      <c r="A54" s="18" t="s">
        <v>63</v>
      </c>
      <c r="B54" s="18">
        <v>353</v>
      </c>
      <c r="C54" s="18">
        <v>385</v>
      </c>
      <c r="D54" s="18">
        <v>373</v>
      </c>
      <c r="G54" t="s">
        <v>317</v>
      </c>
    </row>
    <row r="55" spans="1:7" x14ac:dyDescent="0.25">
      <c r="A55" s="4" t="s">
        <v>64</v>
      </c>
      <c r="B55" s="4"/>
      <c r="C55" s="4"/>
      <c r="D55" s="4"/>
    </row>
    <row r="56" spans="1:7" x14ac:dyDescent="0.25">
      <c r="A56" s="18" t="s">
        <v>121</v>
      </c>
      <c r="B56" s="18">
        <v>245</v>
      </c>
      <c r="C56" s="18">
        <v>258</v>
      </c>
      <c r="D56" s="18">
        <v>256</v>
      </c>
      <c r="G56" t="s">
        <v>318</v>
      </c>
    </row>
    <row r="57" spans="1:7" x14ac:dyDescent="0.25">
      <c r="A57" s="4" t="s">
        <v>66</v>
      </c>
      <c r="B57" s="4"/>
      <c r="C57" s="4"/>
      <c r="D57" s="4"/>
      <c r="G57" t="s">
        <v>319</v>
      </c>
    </row>
    <row r="58" spans="1:7" x14ac:dyDescent="0.25">
      <c r="A58" s="18" t="s">
        <v>67</v>
      </c>
      <c r="B58" s="18">
        <v>198</v>
      </c>
      <c r="C58" s="18">
        <v>216</v>
      </c>
      <c r="D58" s="18">
        <v>210</v>
      </c>
      <c r="G58" t="s">
        <v>320</v>
      </c>
    </row>
    <row r="59" spans="1:7" x14ac:dyDescent="0.25">
      <c r="A59" s="4" t="s">
        <v>68</v>
      </c>
      <c r="B59" s="4"/>
      <c r="C59" s="4"/>
      <c r="D59" s="4"/>
    </row>
    <row r="60" spans="1:7" x14ac:dyDescent="0.25">
      <c r="A60" s="18" t="s">
        <v>69</v>
      </c>
      <c r="B60" s="18">
        <v>517</v>
      </c>
      <c r="C60" s="18">
        <v>603</v>
      </c>
      <c r="D60" s="18">
        <v>574</v>
      </c>
      <c r="G60" t="s">
        <v>321</v>
      </c>
    </row>
    <row r="61" spans="1:7" x14ac:dyDescent="0.25">
      <c r="A61" t="s">
        <v>70</v>
      </c>
      <c r="G61" t="s">
        <v>322</v>
      </c>
    </row>
    <row r="62" spans="1:7" x14ac:dyDescent="0.25">
      <c r="A62" s="18" t="s">
        <v>192</v>
      </c>
      <c r="B62" s="18">
        <v>268</v>
      </c>
      <c r="C62" s="18">
        <v>301</v>
      </c>
      <c r="D62" s="18">
        <v>296</v>
      </c>
      <c r="E62" s="40" t="s">
        <v>198</v>
      </c>
      <c r="G62" t="s">
        <v>320</v>
      </c>
    </row>
    <row r="63" spans="1:7" x14ac:dyDescent="0.25">
      <c r="A63" s="4" t="s">
        <v>72</v>
      </c>
      <c r="B63" s="4"/>
      <c r="C63" s="4"/>
      <c r="D63" s="4"/>
    </row>
    <row r="64" spans="1:7" x14ac:dyDescent="0.25">
      <c r="A64" s="20" t="s">
        <v>201</v>
      </c>
      <c r="B64" s="20">
        <v>93</v>
      </c>
      <c r="C64" s="20">
        <v>100</v>
      </c>
      <c r="D64" s="20">
        <v>99</v>
      </c>
      <c r="G64" t="s">
        <v>323</v>
      </c>
    </row>
    <row r="65" spans="1:7" ht="15.75" thickBot="1" x14ac:dyDescent="0.3">
      <c r="A65" s="4" t="s">
        <v>74</v>
      </c>
      <c r="B65" s="4"/>
      <c r="C65" s="4"/>
      <c r="D65" s="4"/>
      <c r="G65" t="s">
        <v>324</v>
      </c>
    </row>
    <row r="66" spans="1:7" ht="16.5" thickTop="1" thickBot="1" x14ac:dyDescent="0.3">
      <c r="A66" s="25" t="s">
        <v>75</v>
      </c>
      <c r="B66" s="25">
        <v>350</v>
      </c>
      <c r="C66" s="25">
        <v>386</v>
      </c>
      <c r="D66" s="25">
        <v>361</v>
      </c>
      <c r="G66" t="s">
        <v>320</v>
      </c>
    </row>
    <row r="67" spans="1:7" ht="15.75" thickTop="1" x14ac:dyDescent="0.25">
      <c r="A67" s="4" t="s">
        <v>76</v>
      </c>
      <c r="B67" s="4"/>
      <c r="C67" s="4"/>
      <c r="D67" s="4"/>
    </row>
    <row r="68" spans="1:7" x14ac:dyDescent="0.25">
      <c r="A68" s="18" t="s">
        <v>88</v>
      </c>
      <c r="B68" s="18">
        <v>163</v>
      </c>
      <c r="C68" s="18">
        <v>180</v>
      </c>
      <c r="D68" s="18">
        <v>177</v>
      </c>
      <c r="G68" t="s">
        <v>325</v>
      </c>
    </row>
    <row r="69" spans="1:7" x14ac:dyDescent="0.25">
      <c r="A69" s="4" t="s">
        <v>78</v>
      </c>
      <c r="B69" s="4"/>
      <c r="C69" s="4"/>
      <c r="D69" s="4"/>
      <c r="G69" t="s">
        <v>326</v>
      </c>
    </row>
    <row r="70" spans="1:7" x14ac:dyDescent="0.25">
      <c r="A70" s="18" t="s">
        <v>79</v>
      </c>
      <c r="B70" s="19">
        <v>136</v>
      </c>
      <c r="C70" s="19">
        <v>152</v>
      </c>
      <c r="D70" s="19">
        <v>146</v>
      </c>
    </row>
    <row r="71" spans="1:7" x14ac:dyDescent="0.25">
      <c r="A71" s="4" t="s">
        <v>80</v>
      </c>
      <c r="B71" s="4"/>
      <c r="C71" s="4"/>
      <c r="D71" s="4"/>
      <c r="G71" t="s">
        <v>327</v>
      </c>
    </row>
    <row r="72" spans="1:7" x14ac:dyDescent="0.25">
      <c r="A72" s="18" t="s">
        <v>81</v>
      </c>
      <c r="B72" s="19">
        <v>65315</v>
      </c>
      <c r="C72" s="19">
        <v>70330</v>
      </c>
      <c r="D72" s="19">
        <v>69761</v>
      </c>
      <c r="E72" s="40" t="s">
        <v>223</v>
      </c>
      <c r="F72" t="s">
        <v>228</v>
      </c>
      <c r="G72" t="s">
        <v>328</v>
      </c>
    </row>
    <row r="73" spans="1:7" x14ac:dyDescent="0.25">
      <c r="A73" s="39" t="s">
        <v>82</v>
      </c>
      <c r="B73" s="39"/>
      <c r="C73" s="39"/>
      <c r="D73" s="39"/>
      <c r="G73" t="s">
        <v>303</v>
      </c>
    </row>
    <row r="74" spans="1:7" ht="23.25" x14ac:dyDescent="0.35">
      <c r="A74" s="32" t="s">
        <v>164</v>
      </c>
    </row>
    <row r="75" spans="1:7" ht="30" x14ac:dyDescent="0.25">
      <c r="A75" s="31" t="s">
        <v>237</v>
      </c>
      <c r="G75" t="s">
        <v>287</v>
      </c>
    </row>
    <row r="76" spans="1:7" ht="30" x14ac:dyDescent="0.25">
      <c r="A76" s="31" t="s">
        <v>187</v>
      </c>
      <c r="G76" t="s">
        <v>329</v>
      </c>
    </row>
    <row r="77" spans="1:7" ht="45" x14ac:dyDescent="0.25">
      <c r="A77" s="31" t="s">
        <v>243</v>
      </c>
      <c r="G77" t="s">
        <v>330</v>
      </c>
    </row>
    <row r="78" spans="1:7" ht="30" x14ac:dyDescent="0.25">
      <c r="A78" s="31" t="s">
        <v>188</v>
      </c>
      <c r="G78" t="s">
        <v>331</v>
      </c>
    </row>
    <row r="79" spans="1:7" ht="45" x14ac:dyDescent="0.25">
      <c r="A79" s="31" t="s">
        <v>244</v>
      </c>
      <c r="G79" t="s">
        <v>287</v>
      </c>
    </row>
    <row r="80" spans="1:7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4A3B-FE11-4537-B4B4-1AB402B1D12C}">
  <dimension ref="A1:H86"/>
  <sheetViews>
    <sheetView topLeftCell="A47" workbookViewId="0">
      <selection activeCell="H30" sqref="H30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4.87</v>
      </c>
      <c r="C2" s="20">
        <v>5.01</v>
      </c>
      <c r="D2" s="20">
        <v>4.8899999999999997</v>
      </c>
      <c r="G2" t="s">
        <v>287</v>
      </c>
    </row>
    <row r="3" spans="1:8" x14ac:dyDescent="0.25">
      <c r="A3" s="4" t="s">
        <v>14</v>
      </c>
      <c r="B3" s="4"/>
      <c r="C3" s="4"/>
      <c r="D3" s="4"/>
      <c r="G3" t="s">
        <v>253</v>
      </c>
    </row>
    <row r="4" spans="1:8" x14ac:dyDescent="0.25">
      <c r="A4" s="20" t="s">
        <v>127</v>
      </c>
      <c r="B4" s="20">
        <v>4.2699999999999996</v>
      </c>
      <c r="C4" s="20">
        <v>4.47</v>
      </c>
      <c r="D4" s="20">
        <v>4.34</v>
      </c>
      <c r="E4" s="40" t="s">
        <v>220</v>
      </c>
      <c r="G4" t="s">
        <v>332</v>
      </c>
    </row>
    <row r="5" spans="1:8" x14ac:dyDescent="0.25">
      <c r="A5" s="4" t="s">
        <v>16</v>
      </c>
      <c r="B5" s="4"/>
      <c r="C5" s="4"/>
      <c r="D5" s="4"/>
      <c r="G5" t="s">
        <v>333</v>
      </c>
    </row>
    <row r="6" spans="1:8" x14ac:dyDescent="0.25">
      <c r="A6" s="20" t="s">
        <v>224</v>
      </c>
      <c r="B6" s="20">
        <v>3.73</v>
      </c>
      <c r="C6" s="20">
        <v>4.03</v>
      </c>
      <c r="D6" s="20">
        <v>3.84</v>
      </c>
      <c r="G6" t="s">
        <v>334</v>
      </c>
    </row>
    <row r="7" spans="1:8" x14ac:dyDescent="0.25">
      <c r="A7" s="4" t="s">
        <v>18</v>
      </c>
      <c r="B7" s="4"/>
      <c r="C7" s="4"/>
      <c r="D7" s="4"/>
      <c r="G7" t="s">
        <v>287</v>
      </c>
    </row>
    <row r="8" spans="1:8" x14ac:dyDescent="0.25">
      <c r="A8" s="18" t="s">
        <v>208</v>
      </c>
      <c r="B8" s="18">
        <v>78.33</v>
      </c>
      <c r="C8" s="18">
        <v>79.989999999999995</v>
      </c>
      <c r="D8" s="18">
        <v>79.7</v>
      </c>
      <c r="G8" t="s">
        <v>258</v>
      </c>
      <c r="H8" s="33"/>
    </row>
    <row r="9" spans="1:8" x14ac:dyDescent="0.25">
      <c r="A9" s="4" t="s">
        <v>20</v>
      </c>
      <c r="B9" s="4"/>
      <c r="C9" s="4"/>
      <c r="D9" s="4"/>
      <c r="G9" t="s">
        <v>335</v>
      </c>
    </row>
    <row r="10" spans="1:8" x14ac:dyDescent="0.25">
      <c r="A10" s="18" t="s">
        <v>229</v>
      </c>
      <c r="B10" s="18">
        <v>106.9</v>
      </c>
      <c r="C10" s="18">
        <v>109.3</v>
      </c>
      <c r="D10" s="18">
        <v>109</v>
      </c>
      <c r="G10" t="s">
        <v>288</v>
      </c>
    </row>
    <row r="11" spans="1:8" x14ac:dyDescent="0.25">
      <c r="A11" s="4" t="s">
        <v>22</v>
      </c>
      <c r="B11" s="4"/>
      <c r="C11" s="4"/>
      <c r="D11" s="4"/>
      <c r="G11" t="s">
        <v>336</v>
      </c>
    </row>
    <row r="12" spans="1:8" x14ac:dyDescent="0.25">
      <c r="A12" s="18" t="s">
        <v>209</v>
      </c>
      <c r="B12" s="19">
        <v>6319</v>
      </c>
      <c r="C12" s="19">
        <v>6689</v>
      </c>
      <c r="D12" s="19">
        <v>6612</v>
      </c>
      <c r="E12" s="40" t="s">
        <v>240</v>
      </c>
      <c r="G12" t="s">
        <v>337</v>
      </c>
    </row>
    <row r="13" spans="1:8" ht="15.75" thickBot="1" x14ac:dyDescent="0.3">
      <c r="A13" s="4" t="s">
        <v>24</v>
      </c>
      <c r="B13" s="4"/>
      <c r="C13" s="4"/>
      <c r="D13" s="4"/>
      <c r="G13" t="s">
        <v>338</v>
      </c>
    </row>
    <row r="14" spans="1:8" ht="16.5" thickTop="1" thickBot="1" x14ac:dyDescent="0.3">
      <c r="A14" s="25" t="s">
        <v>25</v>
      </c>
      <c r="B14" s="29">
        <v>20727</v>
      </c>
      <c r="C14" s="29">
        <v>22301</v>
      </c>
      <c r="D14" s="29">
        <v>21996</v>
      </c>
    </row>
    <row r="15" spans="1:8" ht="15.75" thickTop="1" x14ac:dyDescent="0.25">
      <c r="A15" s="4" t="s">
        <v>26</v>
      </c>
      <c r="B15" s="4"/>
      <c r="C15" s="4"/>
      <c r="D15" s="4"/>
      <c r="G15" t="s">
        <v>339</v>
      </c>
    </row>
    <row r="16" spans="1:8" x14ac:dyDescent="0.25">
      <c r="A16" s="18" t="s">
        <v>27</v>
      </c>
      <c r="B16" s="19">
        <v>2407</v>
      </c>
      <c r="C16" s="19">
        <v>2562</v>
      </c>
      <c r="D16" s="19">
        <v>2541</v>
      </c>
      <c r="G16" s="42" t="s">
        <v>340</v>
      </c>
    </row>
    <row r="17" spans="1:8" x14ac:dyDescent="0.25">
      <c r="A17" s="4" t="s">
        <v>28</v>
      </c>
      <c r="B17" s="4"/>
      <c r="C17" s="4"/>
      <c r="D17" s="4"/>
      <c r="G17" t="s">
        <v>338</v>
      </c>
    </row>
    <row r="18" spans="1:8" x14ac:dyDescent="0.25">
      <c r="A18" s="18" t="s">
        <v>29</v>
      </c>
      <c r="B18" s="18">
        <v>127</v>
      </c>
      <c r="C18" s="18">
        <v>138</v>
      </c>
      <c r="D18" s="18">
        <v>137</v>
      </c>
    </row>
    <row r="19" spans="1:8" x14ac:dyDescent="0.25">
      <c r="A19" s="4" t="s">
        <v>30</v>
      </c>
      <c r="B19" s="4"/>
      <c r="C19" s="4"/>
      <c r="D19" s="4"/>
      <c r="G19" t="s">
        <v>341</v>
      </c>
    </row>
    <row r="20" spans="1:8" x14ac:dyDescent="0.25">
      <c r="A20" s="20" t="s">
        <v>193</v>
      </c>
      <c r="B20" s="20">
        <v>173</v>
      </c>
      <c r="C20" s="20">
        <v>190</v>
      </c>
      <c r="D20" s="20">
        <v>179</v>
      </c>
      <c r="G20" t="s">
        <v>342</v>
      </c>
    </row>
    <row r="21" spans="1:8" x14ac:dyDescent="0.25">
      <c r="A21" s="4" t="s">
        <v>194</v>
      </c>
      <c r="B21" s="4"/>
      <c r="C21" s="4"/>
      <c r="D21" s="4"/>
      <c r="G21" t="s">
        <v>343</v>
      </c>
    </row>
    <row r="22" spans="1:8" x14ac:dyDescent="0.25">
      <c r="A22" s="20" t="s">
        <v>210</v>
      </c>
      <c r="B22" s="21">
        <v>44.66</v>
      </c>
      <c r="C22" s="21">
        <v>46.96</v>
      </c>
      <c r="D22" s="21">
        <v>46.17</v>
      </c>
    </row>
    <row r="23" spans="1:8" ht="15.75" thickBot="1" x14ac:dyDescent="0.3">
      <c r="A23" s="4" t="s">
        <v>211</v>
      </c>
      <c r="B23" s="4"/>
      <c r="C23" s="4"/>
      <c r="D23" s="4"/>
      <c r="G23" t="s">
        <v>344</v>
      </c>
    </row>
    <row r="24" spans="1:8" ht="16.5" thickTop="1" thickBot="1" x14ac:dyDescent="0.3">
      <c r="A24" s="25" t="s">
        <v>33</v>
      </c>
      <c r="B24" s="29">
        <v>3816</v>
      </c>
      <c r="C24" s="29">
        <v>3964</v>
      </c>
      <c r="D24" s="29">
        <v>3890</v>
      </c>
      <c r="G24" t="s">
        <v>345</v>
      </c>
    </row>
    <row r="25" spans="1:8" ht="15.75" thickTop="1" x14ac:dyDescent="0.25">
      <c r="A25" s="4" t="s">
        <v>171</v>
      </c>
      <c r="B25" s="4"/>
      <c r="C25" s="4"/>
      <c r="D25" s="4"/>
      <c r="G25" t="s">
        <v>346</v>
      </c>
    </row>
    <row r="26" spans="1:8" x14ac:dyDescent="0.25">
      <c r="A26" s="18" t="s">
        <v>225</v>
      </c>
      <c r="B26" s="19">
        <v>51101</v>
      </c>
      <c r="C26" s="19">
        <v>53850</v>
      </c>
      <c r="D26" s="19">
        <v>53430</v>
      </c>
    </row>
    <row r="27" spans="1:8" x14ac:dyDescent="0.25">
      <c r="A27" s="4" t="s">
        <v>36</v>
      </c>
      <c r="B27" s="4"/>
      <c r="C27" s="4"/>
      <c r="D27" s="4"/>
      <c r="G27" t="s">
        <v>347</v>
      </c>
    </row>
    <row r="28" spans="1:8" x14ac:dyDescent="0.25">
      <c r="A28" s="18" t="s">
        <v>37</v>
      </c>
      <c r="B28" s="19">
        <v>22107</v>
      </c>
      <c r="C28" s="19">
        <v>23405</v>
      </c>
      <c r="D28" s="19">
        <v>23099</v>
      </c>
      <c r="G28" t="s">
        <v>348</v>
      </c>
    </row>
    <row r="29" spans="1:8" x14ac:dyDescent="0.25">
      <c r="A29" s="4" t="s">
        <v>38</v>
      </c>
      <c r="B29" s="4"/>
      <c r="C29" s="4"/>
      <c r="D29" s="4"/>
      <c r="G29" t="s">
        <v>349</v>
      </c>
    </row>
    <row r="30" spans="1:8" x14ac:dyDescent="0.25">
      <c r="A30" s="20" t="s">
        <v>39</v>
      </c>
      <c r="B30" s="21">
        <v>22.07</v>
      </c>
      <c r="C30" s="21">
        <v>31.74</v>
      </c>
      <c r="D30" s="21">
        <v>25.5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350</v>
      </c>
    </row>
    <row r="32" spans="1:8" ht="16.5" thickTop="1" thickBot="1" x14ac:dyDescent="0.3">
      <c r="A32" s="23" t="s">
        <v>41</v>
      </c>
      <c r="B32" s="23">
        <v>99.44</v>
      </c>
      <c r="C32" s="23">
        <v>100.6</v>
      </c>
      <c r="D32" s="23">
        <v>99.81</v>
      </c>
      <c r="E32" t="s">
        <v>213</v>
      </c>
      <c r="G32" t="s">
        <v>351</v>
      </c>
    </row>
    <row r="33" spans="1:7" ht="16.5" thickTop="1" thickBot="1" x14ac:dyDescent="0.3">
      <c r="A33" s="4" t="s">
        <v>42</v>
      </c>
      <c r="B33" s="4"/>
      <c r="C33" s="4"/>
      <c r="D33" s="4"/>
    </row>
    <row r="34" spans="1:7" ht="16.5" thickTop="1" thickBot="1" x14ac:dyDescent="0.3">
      <c r="A34" s="25" t="s">
        <v>43</v>
      </c>
      <c r="B34" s="25">
        <v>1.145</v>
      </c>
      <c r="C34" s="25">
        <v>1.161</v>
      </c>
      <c r="D34" s="25">
        <v>1.155</v>
      </c>
      <c r="G34" t="s">
        <v>352</v>
      </c>
    </row>
    <row r="35" spans="1:7" ht="15.75" thickTop="1" x14ac:dyDescent="0.25">
      <c r="A35" s="4" t="s">
        <v>44</v>
      </c>
      <c r="B35" s="4"/>
      <c r="C35" s="4"/>
      <c r="D35" s="4"/>
      <c r="G35" t="s">
        <v>353</v>
      </c>
    </row>
    <row r="36" spans="1:7" x14ac:dyDescent="0.25">
      <c r="A36" s="20" t="s">
        <v>45</v>
      </c>
      <c r="B36" s="20">
        <v>158.44</v>
      </c>
      <c r="C36" s="20">
        <v>160.69999999999999</v>
      </c>
      <c r="D36" s="20">
        <v>159.86000000000001</v>
      </c>
    </row>
    <row r="37" spans="1:7" x14ac:dyDescent="0.25">
      <c r="A37" s="4" t="s">
        <v>46</v>
      </c>
      <c r="B37" s="4"/>
      <c r="C37" s="4"/>
      <c r="D37" s="4"/>
      <c r="G37" t="s">
        <v>354</v>
      </c>
    </row>
    <row r="38" spans="1:7" x14ac:dyDescent="0.25">
      <c r="A38" s="18" t="s">
        <v>47</v>
      </c>
      <c r="B38" s="18">
        <v>1.3149999999999999</v>
      </c>
      <c r="C38" s="18">
        <v>1.3380000000000001</v>
      </c>
      <c r="D38" s="18">
        <v>1.3240000000000001</v>
      </c>
      <c r="G38" t="s">
        <v>355</v>
      </c>
    </row>
    <row r="39" spans="1:7" x14ac:dyDescent="0.25">
      <c r="A39" s="4" t="s">
        <v>48</v>
      </c>
      <c r="B39" s="4"/>
      <c r="C39" s="4"/>
      <c r="D39" s="4"/>
    </row>
    <row r="40" spans="1:7" x14ac:dyDescent="0.25">
      <c r="A40" s="18" t="s">
        <v>49</v>
      </c>
      <c r="B40" s="18">
        <v>0.71399999999999997</v>
      </c>
      <c r="C40" s="18">
        <v>0.72499999999999998</v>
      </c>
      <c r="D40" s="18">
        <v>0.71899999999999997</v>
      </c>
      <c r="G40" t="s">
        <v>356</v>
      </c>
    </row>
    <row r="41" spans="1:7" x14ac:dyDescent="0.25">
      <c r="A41" s="4" t="s">
        <v>50</v>
      </c>
      <c r="B41" s="4"/>
      <c r="C41" s="4"/>
      <c r="D41" s="4"/>
      <c r="G41" t="s">
        <v>357</v>
      </c>
    </row>
    <row r="42" spans="1:7" x14ac:dyDescent="0.25">
      <c r="A42" s="20" t="s">
        <v>124</v>
      </c>
      <c r="B42" s="20">
        <v>99.58</v>
      </c>
      <c r="C42" s="20">
        <v>116.53</v>
      </c>
      <c r="D42" s="20">
        <v>116.17</v>
      </c>
      <c r="E42" s="40" t="s">
        <v>212</v>
      </c>
      <c r="G42" t="s">
        <v>320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100</v>
      </c>
      <c r="C44" s="20">
        <v>116</v>
      </c>
      <c r="D44" s="20">
        <v>111</v>
      </c>
      <c r="G44" t="s">
        <v>358</v>
      </c>
    </row>
    <row r="45" spans="1:7" x14ac:dyDescent="0.25">
      <c r="A45" s="4" t="s">
        <v>54</v>
      </c>
      <c r="B45" s="4"/>
      <c r="C45" s="4"/>
      <c r="D45" s="4"/>
      <c r="G45" t="s">
        <v>359</v>
      </c>
    </row>
    <row r="46" spans="1:7" x14ac:dyDescent="0.25">
      <c r="A46" s="18" t="s">
        <v>116</v>
      </c>
      <c r="B46" s="19">
        <v>2.75</v>
      </c>
      <c r="C46" s="19">
        <v>3.04</v>
      </c>
      <c r="D46" s="19">
        <v>2.84</v>
      </c>
    </row>
    <row r="47" spans="1:7" x14ac:dyDescent="0.25">
      <c r="A47" s="4" t="s">
        <v>56</v>
      </c>
      <c r="B47" s="4"/>
      <c r="C47" s="4"/>
      <c r="D47" s="4"/>
      <c r="G47" t="s">
        <v>360</v>
      </c>
    </row>
    <row r="48" spans="1:7" ht="45" x14ac:dyDescent="0.25">
      <c r="A48" s="20" t="s">
        <v>57</v>
      </c>
      <c r="B48" s="21">
        <v>4323</v>
      </c>
      <c r="C48" s="21">
        <v>4784</v>
      </c>
      <c r="D48" s="21">
        <v>4686</v>
      </c>
      <c r="E48" s="40" t="s">
        <v>252</v>
      </c>
      <c r="G48" t="s">
        <v>361</v>
      </c>
    </row>
    <row r="49" spans="1:7" x14ac:dyDescent="0.25">
      <c r="A49" s="4" t="s">
        <v>58</v>
      </c>
      <c r="B49" s="4"/>
      <c r="C49" s="4"/>
      <c r="D49" s="4"/>
    </row>
    <row r="50" spans="1:7" x14ac:dyDescent="0.25">
      <c r="A50" s="18" t="s">
        <v>232</v>
      </c>
      <c r="B50" s="19">
        <v>5.34</v>
      </c>
      <c r="C50" s="19">
        <v>5.69</v>
      </c>
      <c r="D50" s="19">
        <v>5.58</v>
      </c>
      <c r="G50" t="s">
        <v>362</v>
      </c>
    </row>
    <row r="51" spans="1:7" ht="15.75" thickBot="1" x14ac:dyDescent="0.3">
      <c r="A51" s="4" t="s">
        <v>185</v>
      </c>
      <c r="B51" s="4"/>
      <c r="C51" s="4"/>
      <c r="D51" s="4"/>
      <c r="G51" t="s">
        <v>363</v>
      </c>
    </row>
    <row r="52" spans="1:7" ht="16.5" thickTop="1" thickBot="1" x14ac:dyDescent="0.3">
      <c r="A52" s="25" t="s">
        <v>242</v>
      </c>
      <c r="B52" s="25">
        <v>66</v>
      </c>
      <c r="C52" s="25">
        <v>76</v>
      </c>
      <c r="D52" s="25">
        <v>72</v>
      </c>
      <c r="E52" t="s">
        <v>235</v>
      </c>
      <c r="F52" t="s">
        <v>250</v>
      </c>
    </row>
    <row r="53" spans="1:7" ht="15.75" thickTop="1" x14ac:dyDescent="0.25">
      <c r="A53" s="4" t="s">
        <v>62</v>
      </c>
      <c r="B53" s="4"/>
      <c r="C53" s="4"/>
      <c r="D53" s="4"/>
      <c r="G53" t="s">
        <v>364</v>
      </c>
    </row>
    <row r="54" spans="1:7" x14ac:dyDescent="0.25">
      <c r="A54" s="18" t="s">
        <v>63</v>
      </c>
      <c r="B54" s="18">
        <v>354</v>
      </c>
      <c r="C54" s="18">
        <v>382</v>
      </c>
      <c r="D54" s="18">
        <v>373</v>
      </c>
      <c r="G54" t="s">
        <v>365</v>
      </c>
    </row>
    <row r="55" spans="1:7" x14ac:dyDescent="0.25">
      <c r="A55" s="4" t="s">
        <v>64</v>
      </c>
      <c r="B55" s="4"/>
      <c r="C55" s="4"/>
      <c r="D55" s="4"/>
      <c r="G55" t="s">
        <v>366</v>
      </c>
    </row>
    <row r="56" spans="1:7" x14ac:dyDescent="0.25">
      <c r="A56" s="18" t="s">
        <v>121</v>
      </c>
      <c r="B56" s="18">
        <v>245</v>
      </c>
      <c r="C56" s="18">
        <v>261</v>
      </c>
      <c r="D56" s="18">
        <v>259</v>
      </c>
    </row>
    <row r="57" spans="1:7" x14ac:dyDescent="0.25">
      <c r="A57" s="4" t="s">
        <v>66</v>
      </c>
      <c r="B57" s="4"/>
      <c r="C57" s="4"/>
      <c r="D57" s="4"/>
      <c r="G57" t="s">
        <v>367</v>
      </c>
    </row>
    <row r="58" spans="1:7" x14ac:dyDescent="0.25">
      <c r="A58" s="18" t="s">
        <v>67</v>
      </c>
      <c r="B58" s="18">
        <v>198</v>
      </c>
      <c r="C58" s="18">
        <v>216</v>
      </c>
      <c r="D58" s="18">
        <v>213</v>
      </c>
      <c r="G58" t="s">
        <v>368</v>
      </c>
    </row>
    <row r="59" spans="1:7" x14ac:dyDescent="0.25">
      <c r="A59" s="4" t="s">
        <v>68</v>
      </c>
      <c r="B59" s="4"/>
      <c r="C59" s="4"/>
      <c r="D59" s="4"/>
      <c r="G59" t="s">
        <v>366</v>
      </c>
    </row>
    <row r="60" spans="1:7" x14ac:dyDescent="0.25">
      <c r="A60" s="18" t="s">
        <v>69</v>
      </c>
      <c r="B60" s="18">
        <v>511</v>
      </c>
      <c r="C60" s="18">
        <v>600</v>
      </c>
      <c r="D60" s="18">
        <v>573</v>
      </c>
    </row>
    <row r="61" spans="1:7" x14ac:dyDescent="0.25">
      <c r="A61" t="s">
        <v>70</v>
      </c>
      <c r="G61" t="s">
        <v>369</v>
      </c>
    </row>
    <row r="62" spans="1:7" x14ac:dyDescent="0.25">
      <c r="A62" s="18" t="s">
        <v>192</v>
      </c>
      <c r="B62" s="18">
        <v>270</v>
      </c>
      <c r="C62" s="18">
        <v>307</v>
      </c>
      <c r="D62" s="18">
        <v>300</v>
      </c>
      <c r="E62" s="40" t="s">
        <v>198</v>
      </c>
      <c r="G62" t="s">
        <v>370</v>
      </c>
    </row>
    <row r="63" spans="1:7" x14ac:dyDescent="0.25">
      <c r="A63" s="4" t="s">
        <v>72</v>
      </c>
      <c r="B63" s="4"/>
      <c r="C63" s="4"/>
      <c r="D63" s="4"/>
      <c r="G63" t="s">
        <v>366</v>
      </c>
    </row>
    <row r="64" spans="1:7" x14ac:dyDescent="0.25">
      <c r="A64" s="20" t="s">
        <v>201</v>
      </c>
      <c r="B64" s="20">
        <v>93</v>
      </c>
      <c r="C64" s="20">
        <v>100</v>
      </c>
      <c r="D64" s="20">
        <v>99</v>
      </c>
    </row>
    <row r="65" spans="1:7" ht="15.75" thickBot="1" x14ac:dyDescent="0.3">
      <c r="A65" s="4" t="s">
        <v>74</v>
      </c>
      <c r="B65" s="4"/>
      <c r="C65" s="4"/>
      <c r="D65" s="4"/>
      <c r="G65" t="s">
        <v>371</v>
      </c>
    </row>
    <row r="66" spans="1:7" ht="16.5" thickTop="1" thickBot="1" x14ac:dyDescent="0.3">
      <c r="A66" s="25" t="s">
        <v>75</v>
      </c>
      <c r="B66" s="25">
        <v>342</v>
      </c>
      <c r="C66" s="25">
        <v>381</v>
      </c>
      <c r="D66" s="25">
        <v>353</v>
      </c>
      <c r="G66" t="s">
        <v>372</v>
      </c>
    </row>
    <row r="67" spans="1:7" ht="15.75" thickTop="1" x14ac:dyDescent="0.25">
      <c r="A67" s="4" t="s">
        <v>76</v>
      </c>
      <c r="B67" s="4"/>
      <c r="C67" s="4"/>
      <c r="D67" s="4"/>
      <c r="G67" t="s">
        <v>373</v>
      </c>
    </row>
    <row r="68" spans="1:7" x14ac:dyDescent="0.25">
      <c r="A68" s="18" t="s">
        <v>88</v>
      </c>
      <c r="B68" s="18">
        <v>164</v>
      </c>
      <c r="C68" s="18">
        <v>180</v>
      </c>
      <c r="D68" s="18">
        <v>178</v>
      </c>
    </row>
    <row r="69" spans="1:7" x14ac:dyDescent="0.25">
      <c r="A69" s="4" t="s">
        <v>78</v>
      </c>
      <c r="B69" s="4"/>
      <c r="C69" s="4"/>
      <c r="D69" s="4"/>
      <c r="G69" t="s">
        <v>287</v>
      </c>
    </row>
    <row r="70" spans="1:7" x14ac:dyDescent="0.25">
      <c r="A70" s="18" t="s">
        <v>79</v>
      </c>
      <c r="B70" s="19">
        <v>136</v>
      </c>
      <c r="C70" s="19">
        <v>151</v>
      </c>
      <c r="D70" s="19">
        <v>146</v>
      </c>
      <c r="G70" t="s">
        <v>329</v>
      </c>
    </row>
    <row r="71" spans="1:7" x14ac:dyDescent="0.25">
      <c r="A71" s="4" t="s">
        <v>80</v>
      </c>
      <c r="B71" s="4"/>
      <c r="C71" s="4"/>
      <c r="D71" s="4"/>
      <c r="G71" t="s">
        <v>330</v>
      </c>
    </row>
    <row r="72" spans="1:7" x14ac:dyDescent="0.25">
      <c r="A72" s="18" t="s">
        <v>81</v>
      </c>
      <c r="B72" s="19">
        <v>66104</v>
      </c>
      <c r="C72" s="19">
        <v>69876</v>
      </c>
      <c r="D72" s="19">
        <v>68079</v>
      </c>
      <c r="E72" s="40" t="s">
        <v>223</v>
      </c>
      <c r="F72" t="s">
        <v>228</v>
      </c>
      <c r="G72" t="s">
        <v>331</v>
      </c>
    </row>
    <row r="73" spans="1:7" x14ac:dyDescent="0.25">
      <c r="A73" s="39" t="s">
        <v>82</v>
      </c>
      <c r="B73" s="39"/>
      <c r="C73" s="39"/>
      <c r="D73" s="39"/>
      <c r="G73" t="s">
        <v>287</v>
      </c>
    </row>
    <row r="74" spans="1:7" ht="23.25" x14ac:dyDescent="0.35">
      <c r="A74" s="32" t="s">
        <v>164</v>
      </c>
    </row>
    <row r="75" spans="1:7" ht="30" x14ac:dyDescent="0.25">
      <c r="A75" s="31" t="s">
        <v>237</v>
      </c>
      <c r="G75" t="s">
        <v>287</v>
      </c>
    </row>
    <row r="76" spans="1:7" ht="30" x14ac:dyDescent="0.25">
      <c r="A76" s="31" t="s">
        <v>187</v>
      </c>
      <c r="G76" t="s">
        <v>329</v>
      </c>
    </row>
    <row r="77" spans="1:7" ht="45" x14ac:dyDescent="0.25">
      <c r="A77" s="31" t="s">
        <v>243</v>
      </c>
      <c r="G77" t="s">
        <v>330</v>
      </c>
    </row>
    <row r="78" spans="1:7" ht="30" x14ac:dyDescent="0.25">
      <c r="A78" s="31" t="s">
        <v>188</v>
      </c>
      <c r="G78" t="s">
        <v>331</v>
      </c>
    </row>
    <row r="79" spans="1:7" ht="45" x14ac:dyDescent="0.25">
      <c r="A79" s="31" t="s">
        <v>244</v>
      </c>
      <c r="G79" t="s">
        <v>287</v>
      </c>
    </row>
    <row r="80" spans="1:7" ht="30" x14ac:dyDescent="0.25">
      <c r="A80" s="31" t="s">
        <v>222</v>
      </c>
    </row>
    <row r="81" spans="1:1" ht="45" x14ac:dyDescent="0.25">
      <c r="A81" s="31" t="s">
        <v>159</v>
      </c>
    </row>
    <row r="82" spans="1:1" ht="45" x14ac:dyDescent="0.25">
      <c r="A82" s="31" t="s">
        <v>190</v>
      </c>
    </row>
    <row r="83" spans="1:1" ht="30" x14ac:dyDescent="0.25">
      <c r="A83" s="31" t="s">
        <v>245</v>
      </c>
    </row>
    <row r="84" spans="1:1" ht="30" x14ac:dyDescent="0.25">
      <c r="A84" s="31" t="s">
        <v>207</v>
      </c>
    </row>
    <row r="85" spans="1:1" ht="45" x14ac:dyDescent="0.25">
      <c r="A85" s="31" t="s">
        <v>163</v>
      </c>
    </row>
    <row r="86" spans="1:1" ht="45" x14ac:dyDescent="0.25">
      <c r="A86" s="31" t="s">
        <v>227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56D2-1184-46C9-B713-EB790B87FD68}">
  <dimension ref="A1:H86"/>
  <sheetViews>
    <sheetView topLeftCell="A44" workbookViewId="0">
      <selection activeCell="G18" sqref="G18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</v>
      </c>
      <c r="C2" s="20">
        <v>4.99</v>
      </c>
      <c r="D2" s="20">
        <v>4.8899999999999997</v>
      </c>
    </row>
    <row r="3" spans="1:8" x14ac:dyDescent="0.25">
      <c r="A3" s="4" t="s">
        <v>14</v>
      </c>
      <c r="B3" s="4"/>
      <c r="C3" s="4"/>
      <c r="D3" s="4"/>
      <c r="G3" t="s">
        <v>287</v>
      </c>
    </row>
    <row r="4" spans="1:8" x14ac:dyDescent="0.25">
      <c r="A4" s="20" t="s">
        <v>127</v>
      </c>
      <c r="B4" s="20">
        <v>4.22</v>
      </c>
      <c r="C4" s="20">
        <v>4.46</v>
      </c>
      <c r="D4" s="20">
        <v>4.29</v>
      </c>
      <c r="E4" s="40" t="s">
        <v>220</v>
      </c>
      <c r="G4" t="s">
        <v>253</v>
      </c>
    </row>
    <row r="5" spans="1:8" x14ac:dyDescent="0.25">
      <c r="A5" s="4" t="s">
        <v>16</v>
      </c>
      <c r="B5" s="4"/>
      <c r="C5" s="4"/>
      <c r="D5" s="4"/>
      <c r="G5" t="s">
        <v>332</v>
      </c>
    </row>
    <row r="6" spans="1:8" x14ac:dyDescent="0.25">
      <c r="A6" s="20" t="s">
        <v>224</v>
      </c>
      <c r="B6" s="20">
        <v>3.72</v>
      </c>
      <c r="C6" s="20">
        <v>4.01</v>
      </c>
      <c r="D6" s="20">
        <v>3.79</v>
      </c>
      <c r="G6" t="s">
        <v>375</v>
      </c>
    </row>
    <row r="7" spans="1:8" x14ac:dyDescent="0.25">
      <c r="A7" s="4" t="s">
        <v>18</v>
      </c>
      <c r="B7" s="4"/>
      <c r="C7" s="4"/>
      <c r="D7" s="4"/>
      <c r="G7" t="s">
        <v>376</v>
      </c>
    </row>
    <row r="8" spans="1:8" x14ac:dyDescent="0.25">
      <c r="A8" s="18" t="s">
        <v>83</v>
      </c>
      <c r="B8" s="18">
        <v>78.34</v>
      </c>
      <c r="C8" s="18">
        <v>80.31</v>
      </c>
      <c r="D8" s="18">
        <v>80.19</v>
      </c>
      <c r="G8" t="s">
        <v>377</v>
      </c>
    </row>
    <row r="9" spans="1:8" x14ac:dyDescent="0.25">
      <c r="A9" s="4" t="s">
        <v>20</v>
      </c>
      <c r="B9" s="4"/>
      <c r="C9" s="4"/>
      <c r="D9" s="4"/>
      <c r="G9" t="s">
        <v>287</v>
      </c>
    </row>
    <row r="10" spans="1:8" x14ac:dyDescent="0.25">
      <c r="A10" s="26" t="s">
        <v>128</v>
      </c>
      <c r="B10" s="26">
        <v>107.3</v>
      </c>
      <c r="C10" s="26">
        <v>110.2</v>
      </c>
      <c r="D10" s="26">
        <v>109.5</v>
      </c>
      <c r="G10" t="s">
        <v>258</v>
      </c>
    </row>
    <row r="11" spans="1:8" x14ac:dyDescent="0.25">
      <c r="A11" s="4" t="s">
        <v>22</v>
      </c>
      <c r="B11" s="4"/>
      <c r="C11" s="4"/>
      <c r="D11" s="4"/>
      <c r="G11" t="s">
        <v>335</v>
      </c>
    </row>
    <row r="12" spans="1:8" x14ac:dyDescent="0.25">
      <c r="A12" s="26" t="s">
        <v>202</v>
      </c>
      <c r="B12" s="28">
        <v>6333</v>
      </c>
      <c r="C12" s="28">
        <v>6824</v>
      </c>
      <c r="D12" s="28">
        <v>6783</v>
      </c>
      <c r="E12" s="40" t="s">
        <v>240</v>
      </c>
      <c r="G12" t="s">
        <v>288</v>
      </c>
    </row>
    <row r="13" spans="1:8" ht="15.75" thickBot="1" x14ac:dyDescent="0.3">
      <c r="A13" t="s">
        <v>24</v>
      </c>
      <c r="B13" s="4"/>
      <c r="C13" s="4"/>
      <c r="D13" s="4"/>
      <c r="G13" t="s">
        <v>378</v>
      </c>
    </row>
    <row r="14" spans="1:8" ht="16.5" thickTop="1" thickBot="1" x14ac:dyDescent="0.3">
      <c r="A14" s="27" t="s">
        <v>84</v>
      </c>
      <c r="B14" s="30">
        <v>20715</v>
      </c>
      <c r="C14" s="30">
        <v>22818</v>
      </c>
      <c r="D14" s="30">
        <v>22635</v>
      </c>
      <c r="G14" t="s">
        <v>379</v>
      </c>
    </row>
    <row r="15" spans="1:8" ht="15.75" thickTop="1" x14ac:dyDescent="0.25">
      <c r="A15" s="4" t="s">
        <v>26</v>
      </c>
      <c r="B15" s="4"/>
      <c r="C15" s="4"/>
      <c r="D15" s="4"/>
      <c r="G15" t="s">
        <v>380</v>
      </c>
    </row>
    <row r="16" spans="1:8" x14ac:dyDescent="0.25">
      <c r="A16" s="26" t="s">
        <v>374</v>
      </c>
      <c r="B16" s="28">
        <v>2421</v>
      </c>
      <c r="C16" s="28">
        <v>2636</v>
      </c>
      <c r="D16" s="28">
        <v>2620</v>
      </c>
    </row>
    <row r="17" spans="1:8" x14ac:dyDescent="0.25">
      <c r="A17" s="4" t="s">
        <v>28</v>
      </c>
      <c r="B17" s="4"/>
      <c r="C17" s="4"/>
      <c r="D17" s="4"/>
      <c r="G17" t="s">
        <v>381</v>
      </c>
    </row>
    <row r="18" spans="1:8" x14ac:dyDescent="0.25">
      <c r="A18" s="18" t="s">
        <v>29</v>
      </c>
      <c r="B18" s="18">
        <v>127</v>
      </c>
      <c r="C18" s="18">
        <v>143</v>
      </c>
      <c r="D18" s="18">
        <v>142</v>
      </c>
      <c r="G18" t="s">
        <v>382</v>
      </c>
    </row>
    <row r="19" spans="1:8" x14ac:dyDescent="0.25">
      <c r="A19" s="4" t="s">
        <v>30</v>
      </c>
      <c r="B19" s="4"/>
      <c r="C19" s="4"/>
      <c r="D19" s="4"/>
      <c r="G19" t="s">
        <v>380</v>
      </c>
    </row>
    <row r="20" spans="1:8" x14ac:dyDescent="0.25">
      <c r="A20" s="20" t="s">
        <v>193</v>
      </c>
      <c r="B20" s="20">
        <v>170</v>
      </c>
      <c r="C20" s="20">
        <v>191</v>
      </c>
      <c r="D20" s="20">
        <v>172</v>
      </c>
    </row>
    <row r="21" spans="1:8" x14ac:dyDescent="0.25">
      <c r="A21" s="4" t="s">
        <v>194</v>
      </c>
      <c r="B21" s="4"/>
      <c r="C21" s="4"/>
      <c r="D21" s="4"/>
      <c r="G21" t="s">
        <v>383</v>
      </c>
    </row>
    <row r="22" spans="1:8" x14ac:dyDescent="0.25">
      <c r="A22" s="20" t="s">
        <v>210</v>
      </c>
      <c r="B22" s="21">
        <v>45.04</v>
      </c>
      <c r="C22" s="21">
        <v>47.38</v>
      </c>
      <c r="D22" s="21">
        <v>46.78</v>
      </c>
      <c r="G22" t="s">
        <v>384</v>
      </c>
    </row>
    <row r="23" spans="1:8" ht="15.75" thickBot="1" x14ac:dyDescent="0.3">
      <c r="A23" s="4" t="s">
        <v>211</v>
      </c>
      <c r="B23" s="4"/>
      <c r="C23" s="4"/>
      <c r="D23" s="4"/>
      <c r="G23" t="s">
        <v>385</v>
      </c>
    </row>
    <row r="24" spans="1:8" ht="16.5" thickTop="1" thickBot="1" x14ac:dyDescent="0.3">
      <c r="A24" s="25" t="s">
        <v>33</v>
      </c>
      <c r="B24" s="29">
        <v>3838</v>
      </c>
      <c r="C24" s="29">
        <v>4002</v>
      </c>
      <c r="D24" s="29">
        <v>3966</v>
      </c>
    </row>
    <row r="25" spans="1:8" ht="15.75" thickTop="1" x14ac:dyDescent="0.25">
      <c r="A25" s="4" t="s">
        <v>171</v>
      </c>
      <c r="B25" s="4"/>
      <c r="C25" s="4"/>
      <c r="D25" s="4"/>
      <c r="G25" t="s">
        <v>386</v>
      </c>
    </row>
    <row r="26" spans="1:8" x14ac:dyDescent="0.25">
      <c r="A26" s="26" t="s">
        <v>35</v>
      </c>
      <c r="B26" s="28">
        <v>50967</v>
      </c>
      <c r="C26" s="28">
        <v>56311</v>
      </c>
      <c r="D26" s="28">
        <v>55895</v>
      </c>
      <c r="G26" t="s">
        <v>387</v>
      </c>
    </row>
    <row r="27" spans="1:8" x14ac:dyDescent="0.25">
      <c r="A27" s="4" t="s">
        <v>36</v>
      </c>
      <c r="B27" s="4"/>
      <c r="C27" s="4"/>
      <c r="D27" s="4"/>
      <c r="G27" t="s">
        <v>388</v>
      </c>
    </row>
    <row r="28" spans="1:8" x14ac:dyDescent="0.25">
      <c r="A28" s="18" t="s">
        <v>37</v>
      </c>
      <c r="B28" s="19">
        <v>21993</v>
      </c>
      <c r="C28" s="19">
        <v>24180</v>
      </c>
      <c r="D28" s="19">
        <v>23779</v>
      </c>
    </row>
    <row r="29" spans="1:8" x14ac:dyDescent="0.25">
      <c r="A29" s="4" t="s">
        <v>38</v>
      </c>
      <c r="B29" s="4"/>
      <c r="C29" s="4"/>
      <c r="D29" s="4"/>
      <c r="G29" t="s">
        <v>389</v>
      </c>
    </row>
    <row r="30" spans="1:8" x14ac:dyDescent="0.25">
      <c r="A30" s="20" t="s">
        <v>39</v>
      </c>
      <c r="B30" s="21">
        <v>19.36</v>
      </c>
      <c r="C30" s="21">
        <v>31.06</v>
      </c>
      <c r="D30" s="21">
        <v>21.47</v>
      </c>
      <c r="G30" t="s">
        <v>390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388</v>
      </c>
    </row>
    <row r="32" spans="1:8" ht="16.5" thickTop="1" thickBot="1" x14ac:dyDescent="0.3">
      <c r="A32" s="23" t="s">
        <v>41</v>
      </c>
      <c r="B32" s="23">
        <v>98.74</v>
      </c>
      <c r="C32" s="23">
        <v>100.67</v>
      </c>
      <c r="D32" s="23">
        <v>98.81</v>
      </c>
      <c r="E32" t="s">
        <v>213</v>
      </c>
    </row>
    <row r="33" spans="1:7" ht="16.5" thickTop="1" thickBot="1" x14ac:dyDescent="0.3">
      <c r="A33" s="4" t="s">
        <v>42</v>
      </c>
      <c r="B33" s="4"/>
      <c r="C33" s="4"/>
      <c r="D33" s="4"/>
      <c r="G33" t="s">
        <v>391</v>
      </c>
    </row>
    <row r="34" spans="1:7" ht="16.5" thickTop="1" thickBot="1" x14ac:dyDescent="0.3">
      <c r="A34" s="25" t="s">
        <v>43</v>
      </c>
      <c r="B34" s="25">
        <v>1.143</v>
      </c>
      <c r="C34" s="25">
        <v>1.171</v>
      </c>
      <c r="D34" s="25">
        <v>1.167</v>
      </c>
      <c r="G34" t="s">
        <v>392</v>
      </c>
    </row>
    <row r="35" spans="1:7" ht="15.75" thickTop="1" x14ac:dyDescent="0.25">
      <c r="A35" s="4" t="s">
        <v>44</v>
      </c>
      <c r="B35" s="4"/>
      <c r="C35" s="4"/>
      <c r="D35" s="4"/>
      <c r="G35" t="s">
        <v>388</v>
      </c>
    </row>
    <row r="36" spans="1:7" x14ac:dyDescent="0.25">
      <c r="A36" s="20" t="s">
        <v>45</v>
      </c>
      <c r="B36" s="20">
        <v>158.08000000000001</v>
      </c>
      <c r="C36" s="20">
        <v>160.25</v>
      </c>
      <c r="D36" s="20">
        <v>158.97999999999999</v>
      </c>
    </row>
    <row r="37" spans="1:7" x14ac:dyDescent="0.25">
      <c r="A37" s="4" t="s">
        <v>46</v>
      </c>
      <c r="B37" s="4"/>
      <c r="C37" s="4"/>
      <c r="D37" s="4"/>
      <c r="G37" t="s">
        <v>393</v>
      </c>
    </row>
    <row r="38" spans="1:7" x14ac:dyDescent="0.25">
      <c r="A38" s="18" t="s">
        <v>47</v>
      </c>
      <c r="B38" s="18">
        <v>1.3169999999999999</v>
      </c>
      <c r="C38" s="18">
        <v>1.345</v>
      </c>
      <c r="D38" s="18">
        <v>1.34</v>
      </c>
      <c r="G38" t="s">
        <v>394</v>
      </c>
    </row>
    <row r="39" spans="1:7" x14ac:dyDescent="0.25">
      <c r="A39" s="4" t="s">
        <v>48</v>
      </c>
      <c r="B39" s="4"/>
      <c r="C39" s="4"/>
      <c r="D39" s="4"/>
      <c r="G39" t="s">
        <v>388</v>
      </c>
    </row>
    <row r="40" spans="1:7" x14ac:dyDescent="0.25">
      <c r="A40" s="18" t="s">
        <v>49</v>
      </c>
      <c r="B40" s="18">
        <v>0.71499999999999997</v>
      </c>
      <c r="C40" s="18">
        <v>0.72399999999999998</v>
      </c>
      <c r="D40" s="18">
        <v>0.72199999999999998</v>
      </c>
    </row>
    <row r="41" spans="1:7" x14ac:dyDescent="0.25">
      <c r="A41" s="4" t="s">
        <v>50</v>
      </c>
      <c r="B41" s="4"/>
      <c r="C41" s="4"/>
      <c r="D41" s="4"/>
      <c r="G41" t="s">
        <v>395</v>
      </c>
    </row>
    <row r="42" spans="1:7" x14ac:dyDescent="0.25">
      <c r="A42" s="20" t="s">
        <v>124</v>
      </c>
      <c r="B42" s="20">
        <v>93.67</v>
      </c>
      <c r="C42" s="20">
        <v>116.99</v>
      </c>
      <c r="D42" s="20">
        <v>97.35</v>
      </c>
      <c r="E42" s="40" t="s">
        <v>212</v>
      </c>
      <c r="G42" t="s">
        <v>396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95</v>
      </c>
      <c r="C44" s="20">
        <v>117</v>
      </c>
      <c r="D44" s="20">
        <v>98</v>
      </c>
      <c r="G44" t="s">
        <v>397</v>
      </c>
    </row>
    <row r="45" spans="1:7" x14ac:dyDescent="0.25">
      <c r="A45" s="4" t="s">
        <v>54</v>
      </c>
      <c r="B45" s="4"/>
      <c r="C45" s="4"/>
      <c r="D45" s="4"/>
      <c r="G45" t="s">
        <v>398</v>
      </c>
    </row>
    <row r="46" spans="1:7" x14ac:dyDescent="0.25">
      <c r="A46" s="18" t="s">
        <v>116</v>
      </c>
      <c r="B46" s="19">
        <v>2.61</v>
      </c>
      <c r="C46" s="19">
        <v>2.98</v>
      </c>
      <c r="D46" s="19">
        <v>2.72</v>
      </c>
    </row>
    <row r="47" spans="1:7" x14ac:dyDescent="0.25">
      <c r="A47" s="4" t="s">
        <v>56</v>
      </c>
      <c r="B47" s="4"/>
      <c r="C47" s="4"/>
      <c r="D47" s="4"/>
      <c r="G47" t="s">
        <v>399</v>
      </c>
    </row>
    <row r="48" spans="1:7" ht="45" x14ac:dyDescent="0.25">
      <c r="A48" s="20" t="s">
        <v>57</v>
      </c>
      <c r="B48" s="21">
        <v>4378</v>
      </c>
      <c r="C48" s="21">
        <v>4795</v>
      </c>
      <c r="D48" s="21">
        <v>4753</v>
      </c>
      <c r="E48" s="40" t="s">
        <v>252</v>
      </c>
      <c r="G48" t="s">
        <v>400</v>
      </c>
    </row>
    <row r="49" spans="1:7" x14ac:dyDescent="0.25">
      <c r="A49" s="4" t="s">
        <v>58</v>
      </c>
      <c r="B49" s="4"/>
      <c r="C49" s="4"/>
      <c r="D49" s="4"/>
    </row>
    <row r="50" spans="1:7" x14ac:dyDescent="0.25">
      <c r="A50" s="26" t="s">
        <v>226</v>
      </c>
      <c r="B50" s="28">
        <v>5.39</v>
      </c>
      <c r="C50" s="28">
        <v>5.79</v>
      </c>
      <c r="D50" s="28">
        <v>5.7</v>
      </c>
      <c r="G50" t="s">
        <v>401</v>
      </c>
    </row>
    <row r="51" spans="1:7" ht="15.75" thickBot="1" x14ac:dyDescent="0.3">
      <c r="A51" s="4" t="s">
        <v>185</v>
      </c>
      <c r="B51" s="4"/>
      <c r="C51" s="4"/>
      <c r="D51" s="4"/>
      <c r="G51" t="s">
        <v>402</v>
      </c>
    </row>
    <row r="52" spans="1:7" ht="16.5" thickTop="1" thickBot="1" x14ac:dyDescent="0.3">
      <c r="A52" s="25" t="s">
        <v>242</v>
      </c>
      <c r="B52" s="25">
        <v>68</v>
      </c>
      <c r="C52" s="25">
        <v>77</v>
      </c>
      <c r="D52" s="25">
        <v>74</v>
      </c>
      <c r="E52" t="s">
        <v>235</v>
      </c>
      <c r="F52" t="s">
        <v>250</v>
      </c>
    </row>
    <row r="53" spans="1:7" ht="15.75" thickTop="1" x14ac:dyDescent="0.25">
      <c r="A53" s="4" t="s">
        <v>62</v>
      </c>
      <c r="B53" s="4"/>
      <c r="C53" s="4"/>
      <c r="D53" s="4"/>
      <c r="G53" t="s">
        <v>403</v>
      </c>
    </row>
    <row r="54" spans="1:7" x14ac:dyDescent="0.25">
      <c r="A54" s="18" t="s">
        <v>63</v>
      </c>
      <c r="B54" s="18">
        <v>355</v>
      </c>
      <c r="C54" s="18">
        <v>381</v>
      </c>
      <c r="D54" s="18">
        <v>374</v>
      </c>
      <c r="G54" t="s">
        <v>404</v>
      </c>
    </row>
    <row r="55" spans="1:7" x14ac:dyDescent="0.25">
      <c r="A55" s="4" t="s">
        <v>64</v>
      </c>
      <c r="B55" s="4"/>
      <c r="C55" s="4"/>
      <c r="D55" s="4"/>
    </row>
    <row r="56" spans="1:7" x14ac:dyDescent="0.25">
      <c r="A56" s="18" t="s">
        <v>121</v>
      </c>
      <c r="B56" s="18">
        <v>246</v>
      </c>
      <c r="C56" s="18">
        <v>262</v>
      </c>
      <c r="D56" s="18">
        <v>259</v>
      </c>
      <c r="G56" t="s">
        <v>405</v>
      </c>
    </row>
    <row r="57" spans="1:7" x14ac:dyDescent="0.25">
      <c r="A57" s="4" t="s">
        <v>66</v>
      </c>
      <c r="B57" s="4"/>
      <c r="C57" s="4"/>
      <c r="D57" s="4"/>
      <c r="G57" t="s">
        <v>406</v>
      </c>
    </row>
    <row r="58" spans="1:7" x14ac:dyDescent="0.25">
      <c r="A58" s="18" t="s">
        <v>67</v>
      </c>
      <c r="B58" s="18">
        <v>199</v>
      </c>
      <c r="C58" s="18">
        <v>224</v>
      </c>
      <c r="D58" s="18">
        <v>221</v>
      </c>
    </row>
    <row r="59" spans="1:7" x14ac:dyDescent="0.25">
      <c r="A59" s="4" t="s">
        <v>68</v>
      </c>
      <c r="B59" s="4"/>
      <c r="C59" s="4"/>
      <c r="D59" s="4"/>
      <c r="G59" t="s">
        <v>407</v>
      </c>
    </row>
    <row r="60" spans="1:7" x14ac:dyDescent="0.25">
      <c r="A60" s="18" t="s">
        <v>69</v>
      </c>
      <c r="B60" s="18">
        <v>516</v>
      </c>
      <c r="C60" s="18">
        <v>621</v>
      </c>
      <c r="D60" s="18">
        <v>612</v>
      </c>
      <c r="G60" t="s">
        <v>408</v>
      </c>
    </row>
    <row r="61" spans="1:7" x14ac:dyDescent="0.25">
      <c r="A61" t="s">
        <v>70</v>
      </c>
      <c r="G61" t="s">
        <v>409</v>
      </c>
    </row>
    <row r="62" spans="1:7" x14ac:dyDescent="0.25">
      <c r="A62" s="20" t="s">
        <v>71</v>
      </c>
      <c r="B62" s="20">
        <v>292</v>
      </c>
      <c r="C62" s="20">
        <v>323</v>
      </c>
      <c r="D62" s="20">
        <v>317</v>
      </c>
      <c r="E62" s="40" t="s">
        <v>198</v>
      </c>
    </row>
    <row r="63" spans="1:7" x14ac:dyDescent="0.25">
      <c r="A63" s="4" t="s">
        <v>72</v>
      </c>
      <c r="B63" s="4"/>
      <c r="C63" s="4"/>
      <c r="D63" s="4"/>
      <c r="G63" t="s">
        <v>410</v>
      </c>
    </row>
    <row r="64" spans="1:7" x14ac:dyDescent="0.25">
      <c r="A64" s="20" t="s">
        <v>201</v>
      </c>
      <c r="B64" s="20">
        <v>93</v>
      </c>
      <c r="C64" s="20">
        <v>102</v>
      </c>
      <c r="D64" s="20">
        <v>99</v>
      </c>
      <c r="G64" t="s">
        <v>411</v>
      </c>
    </row>
    <row r="65" spans="1:7" ht="15.75" thickBot="1" x14ac:dyDescent="0.3">
      <c r="A65" s="4" t="s">
        <v>74</v>
      </c>
      <c r="B65" s="4"/>
      <c r="C65" s="4"/>
      <c r="D65" s="4"/>
    </row>
    <row r="66" spans="1:7" ht="16.5" thickTop="1" thickBot="1" x14ac:dyDescent="0.3">
      <c r="A66" s="25" t="s">
        <v>75</v>
      </c>
      <c r="B66" s="25">
        <v>332</v>
      </c>
      <c r="C66" s="25">
        <v>380</v>
      </c>
      <c r="D66" s="25">
        <v>343</v>
      </c>
      <c r="G66" t="s">
        <v>412</v>
      </c>
    </row>
    <row r="67" spans="1:7" ht="15.75" thickTop="1" x14ac:dyDescent="0.25">
      <c r="A67" s="4" t="s">
        <v>76</v>
      </c>
      <c r="B67" s="4"/>
      <c r="C67" s="4"/>
      <c r="D67" s="4"/>
      <c r="G67" t="s">
        <v>413</v>
      </c>
    </row>
    <row r="68" spans="1:7" x14ac:dyDescent="0.25">
      <c r="A68" s="18" t="s">
        <v>88</v>
      </c>
      <c r="B68" s="18">
        <v>165</v>
      </c>
      <c r="C68" s="18">
        <v>185</v>
      </c>
      <c r="D68" s="18">
        <v>182</v>
      </c>
      <c r="G68" t="s">
        <v>414</v>
      </c>
    </row>
    <row r="69" spans="1:7" x14ac:dyDescent="0.25">
      <c r="A69" s="4" t="s">
        <v>78</v>
      </c>
      <c r="B69" s="4"/>
      <c r="C69" s="4"/>
      <c r="D69" s="4"/>
    </row>
    <row r="70" spans="1:7" x14ac:dyDescent="0.25">
      <c r="A70" s="18" t="s">
        <v>79</v>
      </c>
      <c r="B70" s="19">
        <v>137</v>
      </c>
      <c r="C70" s="19">
        <v>152</v>
      </c>
      <c r="D70" s="19">
        <v>143</v>
      </c>
      <c r="G70" t="s">
        <v>415</v>
      </c>
    </row>
    <row r="71" spans="1:7" x14ac:dyDescent="0.25">
      <c r="A71" s="4" t="s">
        <v>80</v>
      </c>
      <c r="B71" s="4"/>
      <c r="C71" s="4"/>
      <c r="D71" s="4"/>
      <c r="G71" t="s">
        <v>416</v>
      </c>
    </row>
    <row r="72" spans="1:7" x14ac:dyDescent="0.25">
      <c r="A72" s="18" t="s">
        <v>81</v>
      </c>
      <c r="B72" s="19">
        <v>65296</v>
      </c>
      <c r="C72" s="19">
        <v>72009</v>
      </c>
      <c r="D72" s="19">
        <v>71373</v>
      </c>
      <c r="E72" s="40" t="s">
        <v>223</v>
      </c>
      <c r="F72" t="s">
        <v>228</v>
      </c>
      <c r="G72" t="s">
        <v>409</v>
      </c>
    </row>
    <row r="73" spans="1:7" x14ac:dyDescent="0.25">
      <c r="A73" s="39" t="s">
        <v>82</v>
      </c>
      <c r="B73" s="39"/>
      <c r="C73" s="39"/>
      <c r="D73" s="39"/>
    </row>
    <row r="74" spans="1:7" ht="23.25" x14ac:dyDescent="0.35">
      <c r="A74" s="32" t="s">
        <v>164</v>
      </c>
      <c r="G74" t="s">
        <v>417</v>
      </c>
    </row>
    <row r="75" spans="1:7" ht="30" x14ac:dyDescent="0.25">
      <c r="A75" s="31" t="s">
        <v>237</v>
      </c>
      <c r="G75" t="s">
        <v>418</v>
      </c>
    </row>
    <row r="76" spans="1:7" ht="30" x14ac:dyDescent="0.25">
      <c r="A76" s="31" t="s">
        <v>187</v>
      </c>
      <c r="G76" t="s">
        <v>409</v>
      </c>
    </row>
    <row r="77" spans="1:7" ht="45" x14ac:dyDescent="0.25">
      <c r="A77" s="31" t="s">
        <v>243</v>
      </c>
    </row>
    <row r="78" spans="1:7" ht="30" x14ac:dyDescent="0.25">
      <c r="A78" s="31" t="s">
        <v>188</v>
      </c>
      <c r="G78" t="s">
        <v>419</v>
      </c>
    </row>
    <row r="79" spans="1:7" ht="45" x14ac:dyDescent="0.25">
      <c r="A79" s="31" t="s">
        <v>244</v>
      </c>
      <c r="G79" t="s">
        <v>420</v>
      </c>
    </row>
    <row r="80" spans="1:7" ht="30" x14ac:dyDescent="0.25">
      <c r="A80" s="31" t="s">
        <v>222</v>
      </c>
      <c r="G80" t="s">
        <v>409</v>
      </c>
    </row>
    <row r="81" spans="1:7" ht="45" x14ac:dyDescent="0.25">
      <c r="A81" s="31" t="s">
        <v>159</v>
      </c>
    </row>
    <row r="82" spans="1:7" ht="45" x14ac:dyDescent="0.25">
      <c r="A82" s="31" t="s">
        <v>190</v>
      </c>
      <c r="G82" t="s">
        <v>287</v>
      </c>
    </row>
    <row r="83" spans="1:7" ht="30" x14ac:dyDescent="0.25">
      <c r="A83" s="31" t="s">
        <v>245</v>
      </c>
      <c r="G83" t="s">
        <v>329</v>
      </c>
    </row>
    <row r="84" spans="1:7" ht="30" x14ac:dyDescent="0.25">
      <c r="A84" s="31" t="s">
        <v>207</v>
      </c>
      <c r="G84" t="s">
        <v>330</v>
      </c>
    </row>
    <row r="85" spans="1:7" ht="45" x14ac:dyDescent="0.25">
      <c r="A85" s="31" t="s">
        <v>163</v>
      </c>
      <c r="G85" t="s">
        <v>331</v>
      </c>
    </row>
    <row r="86" spans="1:7" ht="45" x14ac:dyDescent="0.25">
      <c r="A86" s="31" t="s">
        <v>227</v>
      </c>
      <c r="G86" t="s">
        <v>287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A4BB-B398-4B47-934E-BB9F700673A2}">
  <dimension ref="A1:H86"/>
  <sheetViews>
    <sheetView topLeftCell="A44" workbookViewId="0">
      <selection activeCell="G18" sqref="G18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</v>
      </c>
      <c r="C2" s="20">
        <v>4.99</v>
      </c>
      <c r="D2" s="20">
        <v>4.8899999999999997</v>
      </c>
    </row>
    <row r="3" spans="1:8" x14ac:dyDescent="0.25">
      <c r="A3" s="4" t="s">
        <v>14</v>
      </c>
      <c r="B3" s="4"/>
      <c r="C3" s="4"/>
      <c r="D3" s="4"/>
      <c r="G3" t="s">
        <v>287</v>
      </c>
    </row>
    <row r="4" spans="1:8" x14ac:dyDescent="0.25">
      <c r="A4" s="20" t="s">
        <v>127</v>
      </c>
      <c r="B4" s="20">
        <v>4.22</v>
      </c>
      <c r="C4" s="20">
        <v>4.46</v>
      </c>
      <c r="D4" s="20">
        <v>4.29</v>
      </c>
      <c r="E4" s="40" t="s">
        <v>220</v>
      </c>
      <c r="G4" t="s">
        <v>253</v>
      </c>
    </row>
    <row r="5" spans="1:8" x14ac:dyDescent="0.25">
      <c r="A5" s="4" t="s">
        <v>16</v>
      </c>
      <c r="B5" s="4"/>
      <c r="C5" s="4"/>
      <c r="D5" s="4"/>
      <c r="G5" t="s">
        <v>332</v>
      </c>
    </row>
    <row r="6" spans="1:8" x14ac:dyDescent="0.25">
      <c r="A6" s="20" t="s">
        <v>224</v>
      </c>
      <c r="B6" s="20">
        <v>3.72</v>
      </c>
      <c r="C6" s="20">
        <v>4.01</v>
      </c>
      <c r="D6" s="20">
        <v>3.79</v>
      </c>
      <c r="G6" t="s">
        <v>375</v>
      </c>
    </row>
    <row r="7" spans="1:8" x14ac:dyDescent="0.25">
      <c r="A7" s="4" t="s">
        <v>18</v>
      </c>
      <c r="B7" s="4"/>
      <c r="C7" s="4"/>
      <c r="D7" s="4"/>
      <c r="G7" t="s">
        <v>376</v>
      </c>
    </row>
    <row r="8" spans="1:8" x14ac:dyDescent="0.25">
      <c r="A8" s="18" t="s">
        <v>83</v>
      </c>
      <c r="B8" s="18">
        <v>78.34</v>
      </c>
      <c r="C8" s="18">
        <v>80.31</v>
      </c>
      <c r="D8" s="18">
        <v>80.19</v>
      </c>
      <c r="G8" t="s">
        <v>377</v>
      </c>
    </row>
    <row r="9" spans="1:8" x14ac:dyDescent="0.25">
      <c r="A9" s="4" t="s">
        <v>20</v>
      </c>
      <c r="B9" s="4"/>
      <c r="C9" s="4"/>
      <c r="D9" s="4"/>
      <c r="G9" t="s">
        <v>287</v>
      </c>
    </row>
    <row r="10" spans="1:8" x14ac:dyDescent="0.25">
      <c r="A10" s="26" t="s">
        <v>128</v>
      </c>
      <c r="B10" s="26">
        <v>107.3</v>
      </c>
      <c r="C10" s="26">
        <v>110.2</v>
      </c>
      <c r="D10" s="26">
        <v>109.5</v>
      </c>
      <c r="G10" t="s">
        <v>258</v>
      </c>
    </row>
    <row r="11" spans="1:8" x14ac:dyDescent="0.25">
      <c r="A11" s="4" t="s">
        <v>22</v>
      </c>
      <c r="B11" s="4"/>
      <c r="C11" s="4"/>
      <c r="D11" s="4"/>
      <c r="G11" t="s">
        <v>335</v>
      </c>
    </row>
    <row r="12" spans="1:8" x14ac:dyDescent="0.25">
      <c r="A12" s="26" t="s">
        <v>202</v>
      </c>
      <c r="B12" s="28">
        <v>6333</v>
      </c>
      <c r="C12" s="28">
        <v>6824</v>
      </c>
      <c r="D12" s="28">
        <v>6783</v>
      </c>
      <c r="E12" s="40" t="s">
        <v>240</v>
      </c>
      <c r="G12" t="s">
        <v>288</v>
      </c>
    </row>
    <row r="13" spans="1:8" ht="15.75" thickBot="1" x14ac:dyDescent="0.3">
      <c r="A13" t="s">
        <v>24</v>
      </c>
      <c r="B13" s="4"/>
      <c r="C13" s="4"/>
      <c r="D13" s="4"/>
      <c r="G13" t="s">
        <v>378</v>
      </c>
    </row>
    <row r="14" spans="1:8" ht="16.5" thickTop="1" thickBot="1" x14ac:dyDescent="0.3">
      <c r="A14" s="27" t="s">
        <v>84</v>
      </c>
      <c r="B14" s="30">
        <v>20715</v>
      </c>
      <c r="C14" s="30">
        <v>22818</v>
      </c>
      <c r="D14" s="30">
        <v>22635</v>
      </c>
      <c r="G14" t="s">
        <v>379</v>
      </c>
    </row>
    <row r="15" spans="1:8" ht="15.75" thickTop="1" x14ac:dyDescent="0.25">
      <c r="A15" s="4" t="s">
        <v>26</v>
      </c>
      <c r="B15" s="4"/>
      <c r="C15" s="4"/>
      <c r="D15" s="4"/>
      <c r="G15" t="s">
        <v>380</v>
      </c>
    </row>
    <row r="16" spans="1:8" x14ac:dyDescent="0.25">
      <c r="A16" s="26" t="s">
        <v>374</v>
      </c>
      <c r="B16" s="28">
        <v>2421</v>
      </c>
      <c r="C16" s="28">
        <v>2636</v>
      </c>
      <c r="D16" s="28">
        <v>2620</v>
      </c>
    </row>
    <row r="17" spans="1:8" x14ac:dyDescent="0.25">
      <c r="A17" s="4" t="s">
        <v>28</v>
      </c>
      <c r="B17" s="4"/>
      <c r="C17" s="4"/>
      <c r="D17" s="4"/>
      <c r="G17" t="s">
        <v>381</v>
      </c>
    </row>
    <row r="18" spans="1:8" x14ac:dyDescent="0.25">
      <c r="A18" s="18" t="s">
        <v>29</v>
      </c>
      <c r="B18" s="18">
        <v>127</v>
      </c>
      <c r="C18" s="18">
        <v>143</v>
      </c>
      <c r="D18" s="18">
        <v>142</v>
      </c>
      <c r="G18" t="s">
        <v>382</v>
      </c>
    </row>
    <row r="19" spans="1:8" x14ac:dyDescent="0.25">
      <c r="A19" s="4" t="s">
        <v>30</v>
      </c>
      <c r="B19" s="4"/>
      <c r="C19" s="4"/>
      <c r="D19" s="4"/>
      <c r="G19" t="s">
        <v>380</v>
      </c>
    </row>
    <row r="20" spans="1:8" x14ac:dyDescent="0.25">
      <c r="A20" s="20" t="s">
        <v>193</v>
      </c>
      <c r="B20" s="20">
        <v>170</v>
      </c>
      <c r="C20" s="20">
        <v>191</v>
      </c>
      <c r="D20" s="20">
        <v>172</v>
      </c>
    </row>
    <row r="21" spans="1:8" x14ac:dyDescent="0.25">
      <c r="A21" s="4" t="s">
        <v>194</v>
      </c>
      <c r="B21" s="4"/>
      <c r="C21" s="4"/>
      <c r="D21" s="4"/>
      <c r="G21" t="s">
        <v>383</v>
      </c>
    </row>
    <row r="22" spans="1:8" x14ac:dyDescent="0.25">
      <c r="A22" s="20" t="s">
        <v>210</v>
      </c>
      <c r="B22" s="21">
        <v>45.04</v>
      </c>
      <c r="C22" s="21">
        <v>47.38</v>
      </c>
      <c r="D22" s="21">
        <v>46.78</v>
      </c>
      <c r="G22" t="s">
        <v>384</v>
      </c>
    </row>
    <row r="23" spans="1:8" ht="15.75" thickBot="1" x14ac:dyDescent="0.3">
      <c r="A23" s="4" t="s">
        <v>211</v>
      </c>
      <c r="B23" s="4"/>
      <c r="C23" s="4"/>
      <c r="D23" s="4"/>
      <c r="G23" t="s">
        <v>385</v>
      </c>
    </row>
    <row r="24" spans="1:8" ht="16.5" thickTop="1" thickBot="1" x14ac:dyDescent="0.3">
      <c r="A24" s="25" t="s">
        <v>33</v>
      </c>
      <c r="B24" s="29">
        <v>3838</v>
      </c>
      <c r="C24" s="29">
        <v>4002</v>
      </c>
      <c r="D24" s="29">
        <v>3966</v>
      </c>
    </row>
    <row r="25" spans="1:8" ht="15.75" thickTop="1" x14ac:dyDescent="0.25">
      <c r="A25" s="4" t="s">
        <v>171</v>
      </c>
      <c r="B25" s="4"/>
      <c r="C25" s="4"/>
      <c r="D25" s="4"/>
      <c r="G25" t="s">
        <v>386</v>
      </c>
    </row>
    <row r="26" spans="1:8" x14ac:dyDescent="0.25">
      <c r="A26" s="26" t="s">
        <v>35</v>
      </c>
      <c r="B26" s="28">
        <v>50967</v>
      </c>
      <c r="C26" s="28">
        <v>56311</v>
      </c>
      <c r="D26" s="28">
        <v>55895</v>
      </c>
      <c r="G26" t="s">
        <v>387</v>
      </c>
    </row>
    <row r="27" spans="1:8" x14ac:dyDescent="0.25">
      <c r="A27" s="4" t="s">
        <v>36</v>
      </c>
      <c r="B27" s="4"/>
      <c r="C27" s="4"/>
      <c r="D27" s="4"/>
      <c r="G27" t="s">
        <v>388</v>
      </c>
    </row>
    <row r="28" spans="1:8" x14ac:dyDescent="0.25">
      <c r="A28" s="18" t="s">
        <v>37</v>
      </c>
      <c r="B28" s="19">
        <v>21993</v>
      </c>
      <c r="C28" s="19">
        <v>24180</v>
      </c>
      <c r="D28" s="19">
        <v>23779</v>
      </c>
    </row>
    <row r="29" spans="1:8" x14ac:dyDescent="0.25">
      <c r="A29" s="4" t="s">
        <v>38</v>
      </c>
      <c r="B29" s="4"/>
      <c r="C29" s="4"/>
      <c r="D29" s="4"/>
      <c r="G29" t="s">
        <v>389</v>
      </c>
    </row>
    <row r="30" spans="1:8" x14ac:dyDescent="0.25">
      <c r="A30" s="20" t="s">
        <v>39</v>
      </c>
      <c r="B30" s="21">
        <v>19.36</v>
      </c>
      <c r="C30" s="21">
        <v>31.06</v>
      </c>
      <c r="D30" s="21">
        <v>21.47</v>
      </c>
      <c r="G30" t="s">
        <v>390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388</v>
      </c>
    </row>
    <row r="32" spans="1:8" ht="16.5" thickTop="1" thickBot="1" x14ac:dyDescent="0.3">
      <c r="A32" s="23" t="s">
        <v>41</v>
      </c>
      <c r="B32" s="23">
        <v>98.74</v>
      </c>
      <c r="C32" s="23">
        <v>100.67</v>
      </c>
      <c r="D32" s="23">
        <v>98.81</v>
      </c>
      <c r="E32" t="s">
        <v>213</v>
      </c>
    </row>
    <row r="33" spans="1:7" ht="16.5" thickTop="1" thickBot="1" x14ac:dyDescent="0.3">
      <c r="A33" s="4" t="s">
        <v>42</v>
      </c>
      <c r="B33" s="4"/>
      <c r="C33" s="4"/>
      <c r="D33" s="4"/>
      <c r="G33" t="s">
        <v>391</v>
      </c>
    </row>
    <row r="34" spans="1:7" ht="16.5" thickTop="1" thickBot="1" x14ac:dyDescent="0.3">
      <c r="A34" s="25" t="s">
        <v>43</v>
      </c>
      <c r="B34" s="25">
        <v>1.143</v>
      </c>
      <c r="C34" s="25">
        <v>1.171</v>
      </c>
      <c r="D34" s="25">
        <v>1.167</v>
      </c>
      <c r="G34" t="s">
        <v>392</v>
      </c>
    </row>
    <row r="35" spans="1:7" ht="15.75" thickTop="1" x14ac:dyDescent="0.25">
      <c r="A35" s="4" t="s">
        <v>44</v>
      </c>
      <c r="B35" s="4"/>
      <c r="C35" s="4"/>
      <c r="D35" s="4"/>
      <c r="G35" t="s">
        <v>388</v>
      </c>
    </row>
    <row r="36" spans="1:7" x14ac:dyDescent="0.25">
      <c r="A36" s="20" t="s">
        <v>45</v>
      </c>
      <c r="B36" s="20">
        <v>158.08000000000001</v>
      </c>
      <c r="C36" s="20">
        <v>160.25</v>
      </c>
      <c r="D36" s="20">
        <v>158.97999999999999</v>
      </c>
    </row>
    <row r="37" spans="1:7" x14ac:dyDescent="0.25">
      <c r="A37" s="4" t="s">
        <v>46</v>
      </c>
      <c r="B37" s="4"/>
      <c r="C37" s="4"/>
      <c r="D37" s="4"/>
      <c r="G37" t="s">
        <v>393</v>
      </c>
    </row>
    <row r="38" spans="1:7" x14ac:dyDescent="0.25">
      <c r="A38" s="18" t="s">
        <v>47</v>
      </c>
      <c r="B38" s="18">
        <v>1.3169999999999999</v>
      </c>
      <c r="C38" s="18">
        <v>1.345</v>
      </c>
      <c r="D38" s="18">
        <v>1.34</v>
      </c>
      <c r="G38" t="s">
        <v>394</v>
      </c>
    </row>
    <row r="39" spans="1:7" x14ac:dyDescent="0.25">
      <c r="A39" s="4" t="s">
        <v>48</v>
      </c>
      <c r="B39" s="4"/>
      <c r="C39" s="4"/>
      <c r="D39" s="4"/>
      <c r="G39" t="s">
        <v>388</v>
      </c>
    </row>
    <row r="40" spans="1:7" x14ac:dyDescent="0.25">
      <c r="A40" s="18" t="s">
        <v>49</v>
      </c>
      <c r="B40" s="18">
        <v>0.71499999999999997</v>
      </c>
      <c r="C40" s="18">
        <v>0.72399999999999998</v>
      </c>
      <c r="D40" s="18">
        <v>0.72199999999999998</v>
      </c>
    </row>
    <row r="41" spans="1:7" x14ac:dyDescent="0.25">
      <c r="A41" s="4" t="s">
        <v>50</v>
      </c>
      <c r="B41" s="4"/>
      <c r="C41" s="4"/>
      <c r="D41" s="4"/>
      <c r="G41" t="s">
        <v>395</v>
      </c>
    </row>
    <row r="42" spans="1:7" x14ac:dyDescent="0.25">
      <c r="A42" s="20" t="s">
        <v>124</v>
      </c>
      <c r="B42" s="20">
        <v>93.67</v>
      </c>
      <c r="C42" s="20">
        <v>116.99</v>
      </c>
      <c r="D42" s="20">
        <v>97.35</v>
      </c>
      <c r="E42" s="40" t="s">
        <v>212</v>
      </c>
      <c r="G42" t="s">
        <v>396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95</v>
      </c>
      <c r="C44" s="20">
        <v>117</v>
      </c>
      <c r="D44" s="20">
        <v>98</v>
      </c>
      <c r="G44" t="s">
        <v>397</v>
      </c>
    </row>
    <row r="45" spans="1:7" x14ac:dyDescent="0.25">
      <c r="A45" s="4" t="s">
        <v>54</v>
      </c>
      <c r="B45" s="4"/>
      <c r="C45" s="4"/>
      <c r="D45" s="4"/>
      <c r="G45" t="s">
        <v>398</v>
      </c>
    </row>
    <row r="46" spans="1:7" x14ac:dyDescent="0.25">
      <c r="A46" s="18" t="s">
        <v>116</v>
      </c>
      <c r="B46" s="19">
        <v>2.61</v>
      </c>
      <c r="C46" s="19">
        <v>2.98</v>
      </c>
      <c r="D46" s="19">
        <v>2.72</v>
      </c>
    </row>
    <row r="47" spans="1:7" x14ac:dyDescent="0.25">
      <c r="A47" s="4" t="s">
        <v>56</v>
      </c>
      <c r="B47" s="4"/>
      <c r="C47" s="4"/>
      <c r="D47" s="4"/>
      <c r="G47" t="s">
        <v>399</v>
      </c>
    </row>
    <row r="48" spans="1:7" ht="45" x14ac:dyDescent="0.25">
      <c r="A48" s="20" t="s">
        <v>57</v>
      </c>
      <c r="B48" s="21">
        <v>4378</v>
      </c>
      <c r="C48" s="21">
        <v>4795</v>
      </c>
      <c r="D48" s="21">
        <v>4753</v>
      </c>
      <c r="E48" s="40" t="s">
        <v>252</v>
      </c>
      <c r="G48" t="s">
        <v>400</v>
      </c>
    </row>
    <row r="49" spans="1:7" x14ac:dyDescent="0.25">
      <c r="A49" s="4" t="s">
        <v>58</v>
      </c>
      <c r="B49" s="4"/>
      <c r="C49" s="4"/>
      <c r="D49" s="4"/>
    </row>
    <row r="50" spans="1:7" x14ac:dyDescent="0.25">
      <c r="A50" s="26" t="s">
        <v>226</v>
      </c>
      <c r="B50" s="28">
        <v>5.39</v>
      </c>
      <c r="C50" s="28">
        <v>5.79</v>
      </c>
      <c r="D50" s="28">
        <v>5.7</v>
      </c>
      <c r="G50" t="s">
        <v>401</v>
      </c>
    </row>
    <row r="51" spans="1:7" ht="15.75" thickBot="1" x14ac:dyDescent="0.3">
      <c r="A51" s="4" t="s">
        <v>185</v>
      </c>
      <c r="B51" s="4"/>
      <c r="C51" s="4"/>
      <c r="D51" s="4"/>
      <c r="G51" t="s">
        <v>402</v>
      </c>
    </row>
    <row r="52" spans="1:7" ht="16.5" thickTop="1" thickBot="1" x14ac:dyDescent="0.3">
      <c r="A52" s="25" t="s">
        <v>242</v>
      </c>
      <c r="B52" s="25">
        <v>68</v>
      </c>
      <c r="C52" s="25">
        <v>77</v>
      </c>
      <c r="D52" s="25">
        <v>74</v>
      </c>
      <c r="E52" t="s">
        <v>235</v>
      </c>
      <c r="F52" t="s">
        <v>250</v>
      </c>
    </row>
    <row r="53" spans="1:7" ht="15.75" thickTop="1" x14ac:dyDescent="0.25">
      <c r="A53" s="4" t="s">
        <v>62</v>
      </c>
      <c r="B53" s="4"/>
      <c r="C53" s="4"/>
      <c r="D53" s="4"/>
      <c r="G53" t="s">
        <v>403</v>
      </c>
    </row>
    <row r="54" spans="1:7" x14ac:dyDescent="0.25">
      <c r="A54" s="18" t="s">
        <v>63</v>
      </c>
      <c r="B54" s="18">
        <v>355</v>
      </c>
      <c r="C54" s="18">
        <v>381</v>
      </c>
      <c r="D54" s="18">
        <v>374</v>
      </c>
      <c r="G54" t="s">
        <v>404</v>
      </c>
    </row>
    <row r="55" spans="1:7" x14ac:dyDescent="0.25">
      <c r="A55" s="4" t="s">
        <v>64</v>
      </c>
      <c r="B55" s="4"/>
      <c r="C55" s="4"/>
      <c r="D55" s="4"/>
    </row>
    <row r="56" spans="1:7" x14ac:dyDescent="0.25">
      <c r="A56" s="18" t="s">
        <v>121</v>
      </c>
      <c r="B56" s="18">
        <v>246</v>
      </c>
      <c r="C56" s="18">
        <v>262</v>
      </c>
      <c r="D56" s="18">
        <v>259</v>
      </c>
      <c r="G56" t="s">
        <v>405</v>
      </c>
    </row>
    <row r="57" spans="1:7" x14ac:dyDescent="0.25">
      <c r="A57" s="4" t="s">
        <v>66</v>
      </c>
      <c r="B57" s="4"/>
      <c r="C57" s="4"/>
      <c r="D57" s="4"/>
      <c r="G57" t="s">
        <v>406</v>
      </c>
    </row>
    <row r="58" spans="1:7" x14ac:dyDescent="0.25">
      <c r="A58" s="18" t="s">
        <v>67</v>
      </c>
      <c r="B58" s="18">
        <v>199</v>
      </c>
      <c r="C58" s="18">
        <v>224</v>
      </c>
      <c r="D58" s="18">
        <v>221</v>
      </c>
    </row>
    <row r="59" spans="1:7" x14ac:dyDescent="0.25">
      <c r="A59" s="4" t="s">
        <v>68</v>
      </c>
      <c r="B59" s="4"/>
      <c r="C59" s="4"/>
      <c r="D59" s="4"/>
      <c r="G59" t="s">
        <v>407</v>
      </c>
    </row>
    <row r="60" spans="1:7" x14ac:dyDescent="0.25">
      <c r="A60" s="18" t="s">
        <v>69</v>
      </c>
      <c r="B60" s="18">
        <v>516</v>
      </c>
      <c r="C60" s="18">
        <v>621</v>
      </c>
      <c r="D60" s="18">
        <v>612</v>
      </c>
      <c r="G60" t="s">
        <v>408</v>
      </c>
    </row>
    <row r="61" spans="1:7" x14ac:dyDescent="0.25">
      <c r="A61" t="s">
        <v>70</v>
      </c>
      <c r="G61" t="s">
        <v>409</v>
      </c>
    </row>
    <row r="62" spans="1:7" x14ac:dyDescent="0.25">
      <c r="A62" s="20" t="s">
        <v>71</v>
      </c>
      <c r="B62" s="20">
        <v>292</v>
      </c>
      <c r="C62" s="20">
        <v>323</v>
      </c>
      <c r="D62" s="20">
        <v>317</v>
      </c>
      <c r="E62" s="40" t="s">
        <v>198</v>
      </c>
    </row>
    <row r="63" spans="1:7" x14ac:dyDescent="0.25">
      <c r="A63" s="4" t="s">
        <v>72</v>
      </c>
      <c r="B63" s="4"/>
      <c r="C63" s="4"/>
      <c r="D63" s="4"/>
      <c r="G63" t="s">
        <v>410</v>
      </c>
    </row>
    <row r="64" spans="1:7" x14ac:dyDescent="0.25">
      <c r="A64" s="20" t="s">
        <v>201</v>
      </c>
      <c r="B64" s="20">
        <v>93</v>
      </c>
      <c r="C64" s="20">
        <v>102</v>
      </c>
      <c r="D64" s="20">
        <v>99</v>
      </c>
      <c r="G64" t="s">
        <v>411</v>
      </c>
    </row>
    <row r="65" spans="1:7" ht="15.75" thickBot="1" x14ac:dyDescent="0.3">
      <c r="A65" s="4" t="s">
        <v>74</v>
      </c>
      <c r="B65" s="4"/>
      <c r="C65" s="4"/>
      <c r="D65" s="4"/>
    </row>
    <row r="66" spans="1:7" ht="16.5" thickTop="1" thickBot="1" x14ac:dyDescent="0.3">
      <c r="A66" s="25" t="s">
        <v>75</v>
      </c>
      <c r="B66" s="25">
        <v>332</v>
      </c>
      <c r="C66" s="25">
        <v>380</v>
      </c>
      <c r="D66" s="25">
        <v>343</v>
      </c>
      <c r="G66" t="s">
        <v>412</v>
      </c>
    </row>
    <row r="67" spans="1:7" ht="15.75" thickTop="1" x14ac:dyDescent="0.25">
      <c r="A67" s="4" t="s">
        <v>76</v>
      </c>
      <c r="B67" s="4"/>
      <c r="C67" s="4"/>
      <c r="D67" s="4"/>
      <c r="G67" t="s">
        <v>413</v>
      </c>
    </row>
    <row r="68" spans="1:7" x14ac:dyDescent="0.25">
      <c r="A68" s="18" t="s">
        <v>88</v>
      </c>
      <c r="B68" s="18">
        <v>165</v>
      </c>
      <c r="C68" s="18">
        <v>185</v>
      </c>
      <c r="D68" s="18">
        <v>182</v>
      </c>
      <c r="G68" t="s">
        <v>414</v>
      </c>
    </row>
    <row r="69" spans="1:7" x14ac:dyDescent="0.25">
      <c r="A69" s="4" t="s">
        <v>78</v>
      </c>
      <c r="B69" s="4"/>
      <c r="C69" s="4"/>
      <c r="D69" s="4"/>
    </row>
    <row r="70" spans="1:7" x14ac:dyDescent="0.25">
      <c r="A70" s="18" t="s">
        <v>79</v>
      </c>
      <c r="B70" s="19">
        <v>137</v>
      </c>
      <c r="C70" s="19">
        <v>152</v>
      </c>
      <c r="D70" s="19">
        <v>143</v>
      </c>
      <c r="G70" t="s">
        <v>415</v>
      </c>
    </row>
    <row r="71" spans="1:7" x14ac:dyDescent="0.25">
      <c r="A71" s="4" t="s">
        <v>80</v>
      </c>
      <c r="B71" s="4"/>
      <c r="C71" s="4"/>
      <c r="D71" s="4"/>
      <c r="G71" t="s">
        <v>416</v>
      </c>
    </row>
    <row r="72" spans="1:7" x14ac:dyDescent="0.25">
      <c r="A72" s="18" t="s">
        <v>81</v>
      </c>
      <c r="B72" s="19">
        <v>65296</v>
      </c>
      <c r="C72" s="19">
        <v>72009</v>
      </c>
      <c r="D72" s="19">
        <v>71373</v>
      </c>
      <c r="E72" s="40" t="s">
        <v>223</v>
      </c>
      <c r="F72" t="s">
        <v>228</v>
      </c>
      <c r="G72" t="s">
        <v>409</v>
      </c>
    </row>
    <row r="73" spans="1:7" x14ac:dyDescent="0.25">
      <c r="A73" s="39" t="s">
        <v>82</v>
      </c>
      <c r="B73" s="39"/>
      <c r="C73" s="39"/>
      <c r="D73" s="39"/>
    </row>
    <row r="74" spans="1:7" ht="23.25" x14ac:dyDescent="0.35">
      <c r="A74" s="32" t="s">
        <v>164</v>
      </c>
      <c r="G74" t="s">
        <v>417</v>
      </c>
    </row>
    <row r="75" spans="1:7" ht="30" x14ac:dyDescent="0.25">
      <c r="A75" s="31" t="s">
        <v>237</v>
      </c>
      <c r="G75" t="s">
        <v>418</v>
      </c>
    </row>
    <row r="76" spans="1:7" ht="30" x14ac:dyDescent="0.25">
      <c r="A76" s="31" t="s">
        <v>187</v>
      </c>
      <c r="G76" t="s">
        <v>409</v>
      </c>
    </row>
    <row r="77" spans="1:7" ht="45" x14ac:dyDescent="0.25">
      <c r="A77" s="31" t="s">
        <v>243</v>
      </c>
    </row>
    <row r="78" spans="1:7" ht="30" x14ac:dyDescent="0.25">
      <c r="A78" s="31" t="s">
        <v>188</v>
      </c>
      <c r="G78" t="s">
        <v>419</v>
      </c>
    </row>
    <row r="79" spans="1:7" ht="45" x14ac:dyDescent="0.25">
      <c r="A79" s="31" t="s">
        <v>244</v>
      </c>
      <c r="G79" t="s">
        <v>420</v>
      </c>
    </row>
    <row r="80" spans="1:7" ht="30" x14ac:dyDescent="0.25">
      <c r="A80" s="31" t="s">
        <v>222</v>
      </c>
      <c r="G80" t="s">
        <v>409</v>
      </c>
    </row>
    <row r="81" spans="1:7" ht="45" x14ac:dyDescent="0.25">
      <c r="A81" s="31" t="s">
        <v>159</v>
      </c>
    </row>
    <row r="82" spans="1:7" ht="45" x14ac:dyDescent="0.25">
      <c r="A82" s="31" t="s">
        <v>190</v>
      </c>
      <c r="G82" t="s">
        <v>287</v>
      </c>
    </row>
    <row r="83" spans="1:7" ht="30" x14ac:dyDescent="0.25">
      <c r="A83" s="31" t="s">
        <v>245</v>
      </c>
      <c r="G83" t="s">
        <v>329</v>
      </c>
    </row>
    <row r="84" spans="1:7" ht="30" x14ac:dyDescent="0.25">
      <c r="A84" s="31" t="s">
        <v>207</v>
      </c>
      <c r="G84" t="s">
        <v>330</v>
      </c>
    </row>
    <row r="85" spans="1:7" ht="45" x14ac:dyDescent="0.25">
      <c r="A85" s="31" t="s">
        <v>163</v>
      </c>
      <c r="G85" t="s">
        <v>331</v>
      </c>
    </row>
    <row r="86" spans="1:7" ht="45" x14ac:dyDescent="0.25">
      <c r="A86" s="31" t="s">
        <v>227</v>
      </c>
      <c r="G86" t="s">
        <v>287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270A-528F-4685-A7F7-A5B60CFC9A12}">
  <dimension ref="A1:H86"/>
  <sheetViews>
    <sheetView topLeftCell="B1" workbookViewId="0">
      <selection activeCell="G4" sqref="G4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4.8499999999999996</v>
      </c>
      <c r="C2" s="20">
        <v>4.9800000000000004</v>
      </c>
      <c r="D2" s="20">
        <v>4.9000000000000004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4.2300000000000004</v>
      </c>
      <c r="C4" s="20">
        <v>4.45</v>
      </c>
      <c r="D4" s="20">
        <v>4.29</v>
      </c>
      <c r="E4" s="40" t="s">
        <v>220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3.72</v>
      </c>
      <c r="C6" s="20">
        <v>4</v>
      </c>
      <c r="D6" s="20">
        <v>3.78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78.55</v>
      </c>
      <c r="C8" s="20">
        <v>80.510000000000005</v>
      </c>
      <c r="D8" s="20">
        <v>80.28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6" t="s">
        <v>128</v>
      </c>
      <c r="B10" s="26">
        <v>107.3</v>
      </c>
      <c r="C10" s="26">
        <v>110.2</v>
      </c>
      <c r="D10" s="26">
        <v>109.5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6340</v>
      </c>
      <c r="C12" s="21">
        <v>6888</v>
      </c>
      <c r="D12" s="21">
        <v>6825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7" t="s">
        <v>84</v>
      </c>
      <c r="B14" s="30">
        <v>20770</v>
      </c>
      <c r="C14" s="30">
        <v>23112</v>
      </c>
      <c r="D14" s="30">
        <v>22822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2411</v>
      </c>
      <c r="C16" s="21">
        <v>2667</v>
      </c>
      <c r="D16" s="21">
        <v>2636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6" t="s">
        <v>89</v>
      </c>
      <c r="B18" s="26">
        <v>128</v>
      </c>
      <c r="C18" s="26">
        <v>145</v>
      </c>
      <c r="D18" s="26">
        <v>142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165</v>
      </c>
      <c r="C20" s="20">
        <v>191</v>
      </c>
      <c r="D20" s="20">
        <v>168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45.15</v>
      </c>
      <c r="C22" s="21">
        <v>47.4</v>
      </c>
      <c r="D22" s="21">
        <v>47.15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5" t="s">
        <v>33</v>
      </c>
      <c r="B24" s="29">
        <v>3850</v>
      </c>
      <c r="C24" s="29">
        <v>4009</v>
      </c>
      <c r="D24" s="29">
        <v>3989</v>
      </c>
    </row>
    <row r="25" spans="1:8" ht="15.75" thickTop="1" x14ac:dyDescent="0.25">
      <c r="A25" s="4" t="s">
        <v>171</v>
      </c>
      <c r="B25" s="4"/>
      <c r="C25" s="4"/>
      <c r="D25" s="4"/>
      <c r="G25" t="s">
        <v>445</v>
      </c>
    </row>
    <row r="26" spans="1:8" x14ac:dyDescent="0.25">
      <c r="A26" s="26" t="s">
        <v>35</v>
      </c>
      <c r="B26" s="28">
        <v>51111</v>
      </c>
      <c r="C26" s="28">
        <v>56998</v>
      </c>
      <c r="D26" s="28">
        <v>56967</v>
      </c>
      <c r="G26" t="s">
        <v>446</v>
      </c>
    </row>
    <row r="27" spans="1:8" x14ac:dyDescent="0.25">
      <c r="A27" s="4" t="s">
        <v>36</v>
      </c>
      <c r="B27" s="4"/>
      <c r="C27" s="4"/>
      <c r="D27" s="4"/>
    </row>
    <row r="28" spans="1:8" x14ac:dyDescent="0.25">
      <c r="A28" s="18" t="s">
        <v>37</v>
      </c>
      <c r="B28" s="19">
        <v>21901</v>
      </c>
      <c r="C28" s="19">
        <v>24184</v>
      </c>
      <c r="D28" s="19">
        <v>23807</v>
      </c>
      <c r="G28" t="s">
        <v>447</v>
      </c>
    </row>
    <row r="29" spans="1:8" x14ac:dyDescent="0.25">
      <c r="A29" s="4" t="s">
        <v>38</v>
      </c>
      <c r="B29" s="4"/>
      <c r="C29" s="4"/>
      <c r="D29" s="4"/>
      <c r="G29" t="s">
        <v>448</v>
      </c>
    </row>
    <row r="30" spans="1:8" x14ac:dyDescent="0.25">
      <c r="A30" s="26" t="s">
        <v>191</v>
      </c>
      <c r="B30" s="28">
        <v>17.98</v>
      </c>
      <c r="C30" s="28">
        <v>31.24</v>
      </c>
      <c r="D30" s="28">
        <v>19.489999999999998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449</v>
      </c>
    </row>
    <row r="32" spans="1:8" ht="16.5" thickTop="1" thickBot="1" x14ac:dyDescent="0.3">
      <c r="A32" s="23" t="s">
        <v>41</v>
      </c>
      <c r="B32" s="23">
        <v>98.51</v>
      </c>
      <c r="C32" s="23">
        <v>100.61</v>
      </c>
      <c r="D32" s="23">
        <v>98.7</v>
      </c>
      <c r="E32" t="s">
        <v>213</v>
      </c>
      <c r="G32" t="s">
        <v>450</v>
      </c>
    </row>
    <row r="33" spans="1:7" ht="16.5" thickTop="1" thickBot="1" x14ac:dyDescent="0.3">
      <c r="A33" s="4" t="s">
        <v>42</v>
      </c>
      <c r="B33" s="4"/>
      <c r="C33" s="4"/>
      <c r="D33" s="4"/>
    </row>
    <row r="34" spans="1:7" ht="16.5" thickTop="1" thickBot="1" x14ac:dyDescent="0.3">
      <c r="A34" s="25" t="s">
        <v>43</v>
      </c>
      <c r="B34" s="25">
        <v>1.143</v>
      </c>
      <c r="C34" s="25">
        <v>1.171</v>
      </c>
      <c r="D34" s="25">
        <v>1.169</v>
      </c>
      <c r="G34" t="s">
        <v>451</v>
      </c>
    </row>
    <row r="35" spans="1:7" ht="15.75" thickTop="1" x14ac:dyDescent="0.25">
      <c r="A35" s="4" t="s">
        <v>44</v>
      </c>
      <c r="B35" s="4"/>
      <c r="C35" s="4"/>
      <c r="D35" s="4"/>
      <c r="G35" t="s">
        <v>452</v>
      </c>
    </row>
    <row r="36" spans="1:7" x14ac:dyDescent="0.25">
      <c r="A36" s="20" t="s">
        <v>45</v>
      </c>
      <c r="B36" s="20">
        <v>158.19999999999999</v>
      </c>
      <c r="C36" s="20">
        <v>160.22</v>
      </c>
      <c r="D36" s="20">
        <v>159.22999999999999</v>
      </c>
    </row>
    <row r="37" spans="1:7" x14ac:dyDescent="0.25">
      <c r="A37" s="4" t="s">
        <v>46</v>
      </c>
      <c r="B37" s="4"/>
      <c r="C37" s="4"/>
      <c r="D37" s="4"/>
      <c r="G37" t="s">
        <v>453</v>
      </c>
    </row>
    <row r="38" spans="1:7" x14ac:dyDescent="0.25">
      <c r="A38" s="18" t="s">
        <v>47</v>
      </c>
      <c r="B38" s="18">
        <v>1.3169999999999999</v>
      </c>
      <c r="C38" s="18">
        <v>1.345</v>
      </c>
      <c r="D38" s="18">
        <v>1.3420000000000001</v>
      </c>
      <c r="G38" t="s">
        <v>454</v>
      </c>
    </row>
    <row r="39" spans="1:7" x14ac:dyDescent="0.25">
      <c r="A39" s="4" t="s">
        <v>48</v>
      </c>
      <c r="B39" s="4"/>
      <c r="C39" s="4"/>
      <c r="D39" s="4"/>
    </row>
    <row r="40" spans="1:7" x14ac:dyDescent="0.25">
      <c r="A40" s="18" t="s">
        <v>49</v>
      </c>
      <c r="B40" s="18">
        <v>0.71599999999999997</v>
      </c>
      <c r="C40" s="18">
        <v>0.72399999999999998</v>
      </c>
      <c r="D40" s="18">
        <v>0.72299999999999998</v>
      </c>
      <c r="G40" t="s">
        <v>455</v>
      </c>
    </row>
    <row r="41" spans="1:7" x14ac:dyDescent="0.25">
      <c r="A41" s="4" t="s">
        <v>50</v>
      </c>
      <c r="B41" s="4"/>
      <c r="C41" s="4"/>
      <c r="D41" s="4"/>
      <c r="G41" t="s">
        <v>456</v>
      </c>
    </row>
    <row r="42" spans="1:7" x14ac:dyDescent="0.25">
      <c r="A42" s="20" t="s">
        <v>124</v>
      </c>
      <c r="B42" s="20">
        <v>93.95</v>
      </c>
      <c r="C42" s="20">
        <v>116.84</v>
      </c>
      <c r="D42" s="20">
        <v>98.63</v>
      </c>
      <c r="E42" s="40" t="s">
        <v>212</v>
      </c>
      <c r="G42" t="s">
        <v>457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93</v>
      </c>
      <c r="C44" s="20">
        <v>117</v>
      </c>
      <c r="D44" s="20">
        <v>97</v>
      </c>
      <c r="G44" t="s">
        <v>458</v>
      </c>
    </row>
    <row r="45" spans="1:7" x14ac:dyDescent="0.25">
      <c r="A45" s="4" t="s">
        <v>54</v>
      </c>
      <c r="B45" s="4"/>
      <c r="C45" s="4"/>
      <c r="D45" s="4"/>
      <c r="G45" t="s">
        <v>459</v>
      </c>
    </row>
    <row r="46" spans="1:7" x14ac:dyDescent="0.25">
      <c r="A46" s="18" t="s">
        <v>116</v>
      </c>
      <c r="B46" s="19">
        <v>2.62</v>
      </c>
      <c r="C46" s="19">
        <v>2.96</v>
      </c>
      <c r="D46" s="19">
        <v>2.66</v>
      </c>
      <c r="G46" t="s">
        <v>460</v>
      </c>
    </row>
    <row r="47" spans="1:7" x14ac:dyDescent="0.25">
      <c r="A47" s="4" t="s">
        <v>56</v>
      </c>
      <c r="B47" s="4"/>
      <c r="C47" s="4"/>
      <c r="D47" s="4"/>
    </row>
    <row r="48" spans="1:7" ht="45" x14ac:dyDescent="0.25">
      <c r="A48" s="20" t="s">
        <v>57</v>
      </c>
      <c r="B48" s="21">
        <v>4435</v>
      </c>
      <c r="C48" s="21">
        <v>4867</v>
      </c>
      <c r="D48" s="21">
        <v>4789</v>
      </c>
      <c r="E48" s="40" t="s">
        <v>252</v>
      </c>
      <c r="G48" t="s">
        <v>461</v>
      </c>
    </row>
    <row r="49" spans="1:7" x14ac:dyDescent="0.25">
      <c r="A49" s="4" t="s">
        <v>58</v>
      </c>
      <c r="B49" s="4"/>
      <c r="C49" s="4"/>
      <c r="D49" s="4"/>
      <c r="G49" t="s">
        <v>462</v>
      </c>
    </row>
    <row r="50" spans="1:7" x14ac:dyDescent="0.25">
      <c r="A50" s="20" t="s">
        <v>59</v>
      </c>
      <c r="B50" s="21">
        <v>5.41</v>
      </c>
      <c r="C50" s="21">
        <v>5.81</v>
      </c>
      <c r="D50" s="21">
        <v>5.79</v>
      </c>
      <c r="G50" t="s">
        <v>460</v>
      </c>
    </row>
    <row r="51" spans="1:7" ht="15.75" thickBot="1" x14ac:dyDescent="0.3">
      <c r="A51" s="4" t="s">
        <v>185</v>
      </c>
      <c r="B51" s="4"/>
      <c r="C51" s="4"/>
      <c r="D51" s="4"/>
    </row>
    <row r="52" spans="1:7" ht="16.5" thickTop="1" thickBot="1" x14ac:dyDescent="0.3">
      <c r="A52" s="25" t="s">
        <v>242</v>
      </c>
      <c r="B52" s="25">
        <v>68</v>
      </c>
      <c r="C52" s="25">
        <v>77</v>
      </c>
      <c r="D52" s="25">
        <v>76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62</v>
      </c>
      <c r="B53" s="4"/>
      <c r="C53" s="4"/>
      <c r="D53" s="4"/>
      <c r="G53" t="s">
        <v>464</v>
      </c>
    </row>
    <row r="54" spans="1:7" x14ac:dyDescent="0.25">
      <c r="A54" s="18" t="s">
        <v>63</v>
      </c>
      <c r="B54" s="18">
        <v>355</v>
      </c>
      <c r="C54" s="18">
        <v>382</v>
      </c>
      <c r="D54" s="18">
        <v>373</v>
      </c>
      <c r="G54" t="s">
        <v>460</v>
      </c>
    </row>
    <row r="55" spans="1:7" x14ac:dyDescent="0.25">
      <c r="A55" s="4" t="s">
        <v>64</v>
      </c>
      <c r="B55" s="4"/>
      <c r="C55" s="4"/>
      <c r="D55" s="4"/>
    </row>
    <row r="56" spans="1:7" x14ac:dyDescent="0.25">
      <c r="A56" s="26" t="s">
        <v>120</v>
      </c>
      <c r="B56" s="26">
        <v>246</v>
      </c>
      <c r="C56" s="26">
        <v>264</v>
      </c>
      <c r="D56" s="26">
        <v>260</v>
      </c>
      <c r="G56" t="s">
        <v>465</v>
      </c>
    </row>
    <row r="57" spans="1:7" x14ac:dyDescent="0.25">
      <c r="A57" s="4" t="s">
        <v>66</v>
      </c>
      <c r="B57" s="4"/>
      <c r="C57" s="4"/>
      <c r="D57" s="4"/>
      <c r="G57" t="s">
        <v>466</v>
      </c>
    </row>
    <row r="58" spans="1:7" x14ac:dyDescent="0.25">
      <c r="A58" s="20" t="s">
        <v>99</v>
      </c>
      <c r="B58" s="20">
        <v>202</v>
      </c>
      <c r="C58" s="20">
        <v>240</v>
      </c>
      <c r="D58" s="20">
        <v>234</v>
      </c>
      <c r="G58" t="s">
        <v>457</v>
      </c>
    </row>
    <row r="59" spans="1:7" x14ac:dyDescent="0.25">
      <c r="A59" s="4" t="s">
        <v>68</v>
      </c>
      <c r="B59" s="4"/>
      <c r="C59" s="4"/>
      <c r="D59" s="4"/>
    </row>
    <row r="60" spans="1:7" x14ac:dyDescent="0.25">
      <c r="A60" s="18" t="s">
        <v>69</v>
      </c>
      <c r="B60" s="18">
        <v>519</v>
      </c>
      <c r="C60" s="18">
        <v>637</v>
      </c>
      <c r="D60" s="18">
        <v>628</v>
      </c>
      <c r="G60" t="s">
        <v>467</v>
      </c>
    </row>
    <row r="61" spans="1:7" x14ac:dyDescent="0.25">
      <c r="A61" t="s">
        <v>70</v>
      </c>
      <c r="G61" t="s">
        <v>468</v>
      </c>
    </row>
    <row r="62" spans="1:7" x14ac:dyDescent="0.25">
      <c r="A62" s="20" t="s">
        <v>71</v>
      </c>
      <c r="B62" s="20">
        <v>296</v>
      </c>
      <c r="C62" s="20">
        <v>329</v>
      </c>
      <c r="D62" s="20">
        <v>318</v>
      </c>
      <c r="E62" s="40" t="s">
        <v>198</v>
      </c>
      <c r="G62" t="s">
        <v>457</v>
      </c>
    </row>
    <row r="63" spans="1:7" x14ac:dyDescent="0.25">
      <c r="A63" s="4" t="s">
        <v>72</v>
      </c>
      <c r="B63" s="4"/>
      <c r="C63" s="4"/>
      <c r="D63" s="4"/>
    </row>
    <row r="64" spans="1:7" x14ac:dyDescent="0.25">
      <c r="A64" s="20" t="s">
        <v>201</v>
      </c>
      <c r="B64" s="20">
        <v>93</v>
      </c>
      <c r="C64" s="20">
        <v>102</v>
      </c>
      <c r="D64" s="20">
        <v>102</v>
      </c>
      <c r="G64" t="s">
        <v>469</v>
      </c>
    </row>
    <row r="65" spans="1:7" ht="15.75" thickBot="1" x14ac:dyDescent="0.3">
      <c r="A65" s="4" t="s">
        <v>74</v>
      </c>
      <c r="B65" s="4"/>
      <c r="C65" s="4"/>
      <c r="D65" s="4"/>
      <c r="G65" t="s">
        <v>470</v>
      </c>
    </row>
    <row r="66" spans="1:7" ht="16.5" thickTop="1" thickBot="1" x14ac:dyDescent="0.3">
      <c r="A66" s="25" t="s">
        <v>75</v>
      </c>
      <c r="B66" s="25">
        <v>332</v>
      </c>
      <c r="C66" s="25">
        <v>375</v>
      </c>
      <c r="D66" s="25">
        <v>346</v>
      </c>
      <c r="G66" t="s">
        <v>471</v>
      </c>
    </row>
    <row r="67" spans="1:7" ht="15.75" thickTop="1" x14ac:dyDescent="0.25">
      <c r="A67" s="4" t="s">
        <v>76</v>
      </c>
      <c r="B67" s="4"/>
      <c r="C67" s="4"/>
      <c r="D67" s="4"/>
    </row>
    <row r="68" spans="1:7" x14ac:dyDescent="0.25">
      <c r="A68" s="26" t="s">
        <v>77</v>
      </c>
      <c r="B68" s="26">
        <v>165</v>
      </c>
      <c r="C68" s="26">
        <v>188</v>
      </c>
      <c r="D68" s="26">
        <v>184</v>
      </c>
      <c r="G68" t="s">
        <v>472</v>
      </c>
    </row>
    <row r="69" spans="1:7" x14ac:dyDescent="0.25">
      <c r="A69" s="4" t="s">
        <v>78</v>
      </c>
      <c r="B69" s="4"/>
      <c r="C69" s="4"/>
      <c r="D69" s="4"/>
      <c r="G69" t="s">
        <v>473</v>
      </c>
    </row>
    <row r="70" spans="1:7" x14ac:dyDescent="0.25">
      <c r="A70" s="18" t="s">
        <v>79</v>
      </c>
      <c r="B70" s="19">
        <v>134</v>
      </c>
      <c r="C70" s="19">
        <v>147</v>
      </c>
      <c r="D70" s="19">
        <v>138</v>
      </c>
      <c r="G70" t="s">
        <v>457</v>
      </c>
    </row>
    <row r="71" spans="1:7" x14ac:dyDescent="0.25">
      <c r="A71" s="4" t="s">
        <v>80</v>
      </c>
      <c r="B71" s="4"/>
      <c r="C71" s="4"/>
      <c r="D71" s="4"/>
    </row>
    <row r="72" spans="1:7" x14ac:dyDescent="0.25">
      <c r="A72" s="18" t="s">
        <v>81</v>
      </c>
      <c r="B72" s="19">
        <v>65306</v>
      </c>
      <c r="C72" s="19">
        <v>73491</v>
      </c>
      <c r="D72" s="19">
        <v>72196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82</v>
      </c>
      <c r="B73" s="39"/>
      <c r="C73" s="39"/>
      <c r="D73" s="39"/>
      <c r="G73" t="s">
        <v>475</v>
      </c>
    </row>
    <row r="74" spans="1:7" ht="23.25" x14ac:dyDescent="0.35">
      <c r="A74" s="32" t="s">
        <v>164</v>
      </c>
      <c r="G74" t="s">
        <v>460</v>
      </c>
    </row>
    <row r="75" spans="1:7" ht="30" x14ac:dyDescent="0.25">
      <c r="A75" s="31" t="s">
        <v>421</v>
      </c>
    </row>
    <row r="76" spans="1:7" ht="30" x14ac:dyDescent="0.25">
      <c r="A76" s="31" t="s">
        <v>422</v>
      </c>
      <c r="G76" t="s">
        <v>287</v>
      </c>
    </row>
    <row r="77" spans="1:7" ht="45" x14ac:dyDescent="0.25">
      <c r="A77" s="31" t="s">
        <v>423</v>
      </c>
      <c r="G77" t="s">
        <v>476</v>
      </c>
    </row>
    <row r="78" spans="1:7" ht="30" x14ac:dyDescent="0.25">
      <c r="A78" s="31" t="s">
        <v>424</v>
      </c>
      <c r="G78" t="s">
        <v>477</v>
      </c>
    </row>
    <row r="79" spans="1:7" ht="45" x14ac:dyDescent="0.25">
      <c r="A79" s="31" t="s">
        <v>425</v>
      </c>
      <c r="G79" t="s">
        <v>478</v>
      </c>
    </row>
    <row r="80" spans="1:7" ht="30" x14ac:dyDescent="0.25">
      <c r="A80" s="31" t="s">
        <v>426</v>
      </c>
      <c r="G80" t="s">
        <v>479</v>
      </c>
    </row>
    <row r="81" spans="1:7" ht="45" x14ac:dyDescent="0.25">
      <c r="A81" s="31" t="s">
        <v>427</v>
      </c>
      <c r="G81" t="s">
        <v>480</v>
      </c>
    </row>
    <row r="82" spans="1:7" ht="45" x14ac:dyDescent="0.25">
      <c r="A82" s="31" t="s">
        <v>428</v>
      </c>
      <c r="G82" t="s">
        <v>481</v>
      </c>
    </row>
    <row r="83" spans="1:7" ht="30" x14ac:dyDescent="0.25">
      <c r="A83" s="31" t="s">
        <v>429</v>
      </c>
      <c r="G83" t="s">
        <v>287</v>
      </c>
    </row>
    <row r="84" spans="1:7" ht="30" x14ac:dyDescent="0.25">
      <c r="A84" s="31" t="s">
        <v>430</v>
      </c>
      <c r="G84" t="s">
        <v>330</v>
      </c>
    </row>
    <row r="85" spans="1:7" ht="45" x14ac:dyDescent="0.25">
      <c r="A85" s="31" t="s">
        <v>431</v>
      </c>
      <c r="G85" t="s">
        <v>331</v>
      </c>
    </row>
    <row r="86" spans="1:7" ht="45" x14ac:dyDescent="0.25">
      <c r="A86" s="31" t="s">
        <v>432</v>
      </c>
      <c r="G86" t="s">
        <v>287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2FB3-FE64-4D2E-B671-0CBE7BA71957}">
  <dimension ref="A1:H86"/>
  <sheetViews>
    <sheetView topLeftCell="A9" workbookViewId="0">
      <selection activeCell="A75" sqref="A75:A86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4.8499999999999996</v>
      </c>
      <c r="C2" s="20">
        <v>4.92</v>
      </c>
      <c r="D2" s="20">
        <v>4.9000000000000004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4.25</v>
      </c>
      <c r="C4" s="20">
        <v>4.38</v>
      </c>
      <c r="D4" s="20">
        <v>4.3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3.73</v>
      </c>
      <c r="C6" s="20">
        <v>3.86</v>
      </c>
      <c r="D6" s="20">
        <v>3.78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79.010000000000005</v>
      </c>
      <c r="C8" s="20">
        <v>80.75</v>
      </c>
      <c r="D8" s="20">
        <v>80.260000000000005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108.1</v>
      </c>
      <c r="C10" s="20">
        <v>110.1</v>
      </c>
      <c r="D10" s="20">
        <v>109.6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6506</v>
      </c>
      <c r="C12" s="21">
        <v>6946</v>
      </c>
      <c r="D12" s="21">
        <v>6886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21296</v>
      </c>
      <c r="C14" s="24">
        <v>23401</v>
      </c>
      <c r="D14" s="24">
        <v>23184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2531</v>
      </c>
      <c r="C16" s="21">
        <v>2700</v>
      </c>
      <c r="D16" s="21">
        <v>2670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132</v>
      </c>
      <c r="C18" s="20">
        <v>148</v>
      </c>
      <c r="D18" s="20">
        <v>146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163</v>
      </c>
      <c r="C20" s="20">
        <v>188</v>
      </c>
      <c r="D20" s="20">
        <v>169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45.5</v>
      </c>
      <c r="C22" s="21">
        <v>47.34</v>
      </c>
      <c r="D22" s="21">
        <v>46.39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117</v>
      </c>
      <c r="B24" s="24">
        <v>3880</v>
      </c>
      <c r="C24" s="24">
        <v>4037</v>
      </c>
      <c r="D24" s="24">
        <v>4027</v>
      </c>
    </row>
    <row r="25" spans="1:8" ht="15.75" thickTop="1" x14ac:dyDescent="0.25">
      <c r="A25" s="4" t="s">
        <v>171</v>
      </c>
      <c r="B25" s="4"/>
      <c r="C25" s="4"/>
      <c r="D25" s="4"/>
      <c r="G25" t="s">
        <v>445</v>
      </c>
    </row>
    <row r="26" spans="1:8" x14ac:dyDescent="0.25">
      <c r="A26" s="20" t="s">
        <v>87</v>
      </c>
      <c r="B26" s="21">
        <v>51397</v>
      </c>
      <c r="C26" s="21">
        <v>57990</v>
      </c>
      <c r="D26" s="21">
        <v>57877</v>
      </c>
      <c r="G26" t="s">
        <v>446</v>
      </c>
    </row>
    <row r="27" spans="1:8" x14ac:dyDescent="0.25">
      <c r="A27" s="4" t="s">
        <v>36</v>
      </c>
      <c r="B27" s="4"/>
      <c r="C27" s="4"/>
      <c r="D27" s="4"/>
    </row>
    <row r="28" spans="1:8" x14ac:dyDescent="0.25">
      <c r="A28" s="26" t="s">
        <v>106</v>
      </c>
      <c r="B28" s="28">
        <v>22316</v>
      </c>
      <c r="C28" s="28">
        <v>24391</v>
      </c>
      <c r="D28" s="28">
        <v>23954</v>
      </c>
      <c r="G28" t="s">
        <v>447</v>
      </c>
    </row>
    <row r="29" spans="1:8" x14ac:dyDescent="0.25">
      <c r="A29" s="4" t="s">
        <v>38</v>
      </c>
      <c r="B29" s="4"/>
      <c r="C29" s="4"/>
      <c r="D29" s="4"/>
      <c r="G29" t="s">
        <v>448</v>
      </c>
    </row>
    <row r="30" spans="1:8" x14ac:dyDescent="0.25">
      <c r="A30" s="18" t="s">
        <v>94</v>
      </c>
      <c r="B30" s="19">
        <v>17.36</v>
      </c>
      <c r="C30" s="19">
        <v>26.68</v>
      </c>
      <c r="D30" s="19">
        <v>18.36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449</v>
      </c>
    </row>
    <row r="32" spans="1:8" ht="16.5" thickTop="1" thickBot="1" x14ac:dyDescent="0.3">
      <c r="A32" s="27" t="s">
        <v>107</v>
      </c>
      <c r="B32" s="27">
        <v>97.76</v>
      </c>
      <c r="C32" s="27">
        <v>100.02</v>
      </c>
      <c r="D32" s="27">
        <v>97.88</v>
      </c>
      <c r="E32" t="s">
        <v>213</v>
      </c>
      <c r="G32" t="s">
        <v>450</v>
      </c>
    </row>
    <row r="33" spans="1:7" ht="16.5" thickTop="1" thickBot="1" x14ac:dyDescent="0.3">
      <c r="A33" s="4" t="s">
        <v>42</v>
      </c>
      <c r="B33" s="4"/>
      <c r="C33" s="4"/>
      <c r="D33" s="4"/>
    </row>
    <row r="34" spans="1:7" ht="16.5" thickTop="1" thickBot="1" x14ac:dyDescent="0.3">
      <c r="A34" s="23" t="s">
        <v>103</v>
      </c>
      <c r="B34" s="23">
        <v>1.1519999999999999</v>
      </c>
      <c r="C34" s="23">
        <v>1.1870000000000001</v>
      </c>
      <c r="D34" s="23">
        <v>1.18</v>
      </c>
      <c r="G34" t="s">
        <v>451</v>
      </c>
    </row>
    <row r="35" spans="1:7" ht="15.75" thickTop="1" x14ac:dyDescent="0.25">
      <c r="A35" s="4" t="s">
        <v>44</v>
      </c>
      <c r="B35" s="4"/>
      <c r="C35" s="4"/>
      <c r="D35" s="4"/>
      <c r="G35" t="s">
        <v>452</v>
      </c>
    </row>
    <row r="36" spans="1:7" x14ac:dyDescent="0.25">
      <c r="A36" s="20" t="s">
        <v>45</v>
      </c>
      <c r="B36" s="20">
        <v>157.93</v>
      </c>
      <c r="C36" s="20">
        <v>159.99</v>
      </c>
      <c r="D36" s="20">
        <v>158.83000000000001</v>
      </c>
    </row>
    <row r="37" spans="1:7" x14ac:dyDescent="0.25">
      <c r="A37" s="4" t="s">
        <v>46</v>
      </c>
      <c r="B37" s="4"/>
      <c r="C37" s="4"/>
      <c r="D37" s="4"/>
      <c r="G37" t="s">
        <v>453</v>
      </c>
    </row>
    <row r="38" spans="1:7" x14ac:dyDescent="0.25">
      <c r="A38" s="20" t="s">
        <v>109</v>
      </c>
      <c r="B38" s="20">
        <v>1.32</v>
      </c>
      <c r="C38" s="20">
        <v>1.363</v>
      </c>
      <c r="D38" s="20">
        <v>1.3560000000000001</v>
      </c>
      <c r="G38" t="s">
        <v>454</v>
      </c>
    </row>
    <row r="39" spans="1:7" x14ac:dyDescent="0.25">
      <c r="A39" s="4" t="s">
        <v>48</v>
      </c>
      <c r="B39" s="4"/>
      <c r="C39" s="4"/>
      <c r="D39" s="4"/>
    </row>
    <row r="40" spans="1:7" x14ac:dyDescent="0.25">
      <c r="A40" s="26" t="s">
        <v>105</v>
      </c>
      <c r="B40" s="26">
        <v>0.71799999999999997</v>
      </c>
      <c r="C40" s="26">
        <v>0.73</v>
      </c>
      <c r="D40" s="26">
        <v>0.72699999999999998</v>
      </c>
      <c r="G40" t="s">
        <v>455</v>
      </c>
    </row>
    <row r="41" spans="1:7" x14ac:dyDescent="0.25">
      <c r="A41" s="4" t="s">
        <v>50</v>
      </c>
      <c r="B41" s="4"/>
      <c r="C41" s="4"/>
      <c r="D41" s="4"/>
      <c r="G41" t="s">
        <v>456</v>
      </c>
    </row>
    <row r="42" spans="1:7" x14ac:dyDescent="0.25">
      <c r="A42" s="20" t="s">
        <v>124</v>
      </c>
      <c r="B42" s="20">
        <v>94.41</v>
      </c>
      <c r="C42" s="20">
        <v>116.94</v>
      </c>
      <c r="D42" s="20">
        <v>97.29</v>
      </c>
      <c r="E42" s="40" t="s">
        <v>212</v>
      </c>
      <c r="G42" t="s">
        <v>457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94</v>
      </c>
      <c r="C44" s="20">
        <v>114</v>
      </c>
      <c r="D44" s="20">
        <v>99</v>
      </c>
      <c r="G44" t="s">
        <v>458</v>
      </c>
    </row>
    <row r="45" spans="1:7" x14ac:dyDescent="0.25">
      <c r="A45" s="4" t="s">
        <v>54</v>
      </c>
      <c r="B45" s="4"/>
      <c r="C45" s="4"/>
      <c r="D45" s="4"/>
      <c r="G45" t="s">
        <v>459</v>
      </c>
    </row>
    <row r="46" spans="1:7" x14ac:dyDescent="0.25">
      <c r="A46" s="18" t="s">
        <v>116</v>
      </c>
      <c r="B46" s="19">
        <v>2.5</v>
      </c>
      <c r="C46" s="19">
        <v>2.93</v>
      </c>
      <c r="D46" s="19">
        <v>2.61</v>
      </c>
      <c r="G46" t="s">
        <v>460</v>
      </c>
    </row>
    <row r="47" spans="1:7" x14ac:dyDescent="0.25">
      <c r="A47" s="4" t="s">
        <v>56</v>
      </c>
      <c r="B47" s="4"/>
      <c r="C47" s="4"/>
      <c r="D47" s="4"/>
    </row>
    <row r="48" spans="1:7" ht="45" x14ac:dyDescent="0.25">
      <c r="A48" s="20" t="s">
        <v>57</v>
      </c>
      <c r="B48" s="21">
        <v>4603</v>
      </c>
      <c r="C48" s="21">
        <v>4826</v>
      </c>
      <c r="D48" s="21">
        <v>4794</v>
      </c>
      <c r="E48" s="40" t="s">
        <v>252</v>
      </c>
      <c r="G48" t="s">
        <v>461</v>
      </c>
    </row>
    <row r="49" spans="1:7" x14ac:dyDescent="0.25">
      <c r="A49" s="4" t="s">
        <v>58</v>
      </c>
      <c r="B49" s="4"/>
      <c r="C49" s="4"/>
      <c r="D49" s="4"/>
      <c r="G49" t="s">
        <v>462</v>
      </c>
    </row>
    <row r="50" spans="1:7" x14ac:dyDescent="0.25">
      <c r="A50" s="20" t="s">
        <v>59</v>
      </c>
      <c r="B50" s="21">
        <v>5.5</v>
      </c>
      <c r="C50" s="21">
        <v>6.11</v>
      </c>
      <c r="D50" s="21">
        <v>6.04</v>
      </c>
      <c r="G50" t="s">
        <v>460</v>
      </c>
    </row>
    <row r="51" spans="1:7" ht="15.75" thickBot="1" x14ac:dyDescent="0.3">
      <c r="A51" s="4" t="s">
        <v>185</v>
      </c>
      <c r="B51" s="4"/>
      <c r="C51" s="4"/>
      <c r="D51" s="4"/>
    </row>
    <row r="52" spans="1:7" ht="16.5" thickTop="1" thickBot="1" x14ac:dyDescent="0.3">
      <c r="A52" s="27" t="s">
        <v>233</v>
      </c>
      <c r="B52" s="27">
        <v>71</v>
      </c>
      <c r="C52" s="27">
        <v>79</v>
      </c>
      <c r="D52" s="27">
        <v>78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62</v>
      </c>
      <c r="B53" s="4"/>
      <c r="C53" s="4"/>
      <c r="D53" s="4"/>
      <c r="G53" t="s">
        <v>464</v>
      </c>
    </row>
    <row r="54" spans="1:7" x14ac:dyDescent="0.25">
      <c r="A54" s="18" t="s">
        <v>63</v>
      </c>
      <c r="B54" s="18">
        <v>360</v>
      </c>
      <c r="C54" s="18">
        <v>390</v>
      </c>
      <c r="D54" s="18">
        <v>384</v>
      </c>
      <c r="G54" t="s">
        <v>460</v>
      </c>
    </row>
    <row r="55" spans="1:7" x14ac:dyDescent="0.25">
      <c r="A55" s="4" t="s">
        <v>64</v>
      </c>
      <c r="B55" s="4"/>
      <c r="C55" s="4"/>
      <c r="D55" s="4"/>
    </row>
    <row r="56" spans="1:7" x14ac:dyDescent="0.25">
      <c r="A56" s="20" t="s">
        <v>65</v>
      </c>
      <c r="B56" s="20">
        <v>250</v>
      </c>
      <c r="C56" s="20">
        <v>264</v>
      </c>
      <c r="D56" s="20">
        <v>259</v>
      </c>
      <c r="G56" t="s">
        <v>465</v>
      </c>
    </row>
    <row r="57" spans="1:7" x14ac:dyDescent="0.25">
      <c r="A57" s="4" t="s">
        <v>66</v>
      </c>
      <c r="B57" s="4"/>
      <c r="C57" s="4"/>
      <c r="D57" s="4"/>
      <c r="G57" t="s">
        <v>466</v>
      </c>
    </row>
    <row r="58" spans="1:7" x14ac:dyDescent="0.25">
      <c r="A58" s="20" t="s">
        <v>99</v>
      </c>
      <c r="B58" s="20">
        <v>219</v>
      </c>
      <c r="C58" s="20">
        <v>247</v>
      </c>
      <c r="D58" s="20">
        <v>240</v>
      </c>
      <c r="G58" t="s">
        <v>457</v>
      </c>
    </row>
    <row r="59" spans="1:7" x14ac:dyDescent="0.25">
      <c r="A59" s="4" t="s">
        <v>68</v>
      </c>
      <c r="B59" s="4"/>
      <c r="C59" s="4"/>
      <c r="D59" s="4"/>
    </row>
    <row r="60" spans="1:7" x14ac:dyDescent="0.25">
      <c r="A60" s="26" t="s">
        <v>135</v>
      </c>
      <c r="B60" s="26">
        <v>541</v>
      </c>
      <c r="C60" s="26">
        <v>651</v>
      </c>
      <c r="D60" s="26">
        <v>635</v>
      </c>
      <c r="G60" t="s">
        <v>467</v>
      </c>
    </row>
    <row r="61" spans="1:7" x14ac:dyDescent="0.25">
      <c r="A61" t="s">
        <v>70</v>
      </c>
      <c r="G61" t="s">
        <v>468</v>
      </c>
    </row>
    <row r="62" spans="1:7" x14ac:dyDescent="0.25">
      <c r="A62" s="20" t="s">
        <v>71</v>
      </c>
      <c r="B62" s="20">
        <v>303</v>
      </c>
      <c r="C62" s="20">
        <v>332</v>
      </c>
      <c r="D62" s="20">
        <v>321</v>
      </c>
      <c r="E62" s="40" t="s">
        <v>198</v>
      </c>
      <c r="G62" t="s">
        <v>457</v>
      </c>
    </row>
    <row r="63" spans="1:7" x14ac:dyDescent="0.25">
      <c r="A63" s="4" t="s">
        <v>72</v>
      </c>
      <c r="B63" s="4"/>
      <c r="C63" s="4"/>
      <c r="D63" s="4"/>
    </row>
    <row r="64" spans="1:7" x14ac:dyDescent="0.25">
      <c r="A64" s="20" t="s">
        <v>201</v>
      </c>
      <c r="B64" s="20">
        <v>94</v>
      </c>
      <c r="C64" s="20">
        <v>106</v>
      </c>
      <c r="D64" s="20">
        <v>103</v>
      </c>
      <c r="G64" t="s">
        <v>469</v>
      </c>
    </row>
    <row r="65" spans="1:7" ht="15.75" thickBot="1" x14ac:dyDescent="0.3">
      <c r="A65" s="4" t="s">
        <v>74</v>
      </c>
      <c r="B65" s="4"/>
      <c r="C65" s="4"/>
      <c r="D65" s="4"/>
      <c r="G65" t="s">
        <v>470</v>
      </c>
    </row>
    <row r="66" spans="1:7" ht="16.5" thickTop="1" thickBot="1" x14ac:dyDescent="0.3">
      <c r="A66" s="25" t="s">
        <v>75</v>
      </c>
      <c r="B66" s="25">
        <v>330</v>
      </c>
      <c r="C66" s="25">
        <v>375</v>
      </c>
      <c r="D66" s="25">
        <v>352</v>
      </c>
      <c r="G66" t="s">
        <v>471</v>
      </c>
    </row>
    <row r="67" spans="1:7" ht="15.75" thickTop="1" x14ac:dyDescent="0.25">
      <c r="A67" s="4" t="s">
        <v>76</v>
      </c>
      <c r="B67" s="4"/>
      <c r="C67" s="4"/>
      <c r="D67" s="4"/>
    </row>
    <row r="68" spans="1:7" x14ac:dyDescent="0.25">
      <c r="A68" s="20" t="s">
        <v>101</v>
      </c>
      <c r="B68" s="20">
        <v>172</v>
      </c>
      <c r="C68" s="20">
        <v>192</v>
      </c>
      <c r="D68" s="20">
        <v>189</v>
      </c>
      <c r="G68" t="s">
        <v>472</v>
      </c>
    </row>
    <row r="69" spans="1:7" x14ac:dyDescent="0.25">
      <c r="A69" s="4" t="s">
        <v>78</v>
      </c>
      <c r="B69" s="4"/>
      <c r="C69" s="4"/>
      <c r="D69" s="4"/>
      <c r="G69" t="s">
        <v>473</v>
      </c>
    </row>
    <row r="70" spans="1:7" x14ac:dyDescent="0.25">
      <c r="A70" s="18" t="s">
        <v>79</v>
      </c>
      <c r="B70" s="19">
        <v>136</v>
      </c>
      <c r="C70" s="19">
        <v>162</v>
      </c>
      <c r="D70" s="19">
        <v>156</v>
      </c>
      <c r="G70" t="s">
        <v>457</v>
      </c>
    </row>
    <row r="71" spans="1:7" x14ac:dyDescent="0.25">
      <c r="A71" s="4" t="s">
        <v>80</v>
      </c>
      <c r="B71" s="4"/>
      <c r="C71" s="4"/>
      <c r="D71" s="4"/>
    </row>
    <row r="72" spans="1:7" x14ac:dyDescent="0.25">
      <c r="A72" s="26" t="s">
        <v>102</v>
      </c>
      <c r="B72" s="28">
        <v>68609</v>
      </c>
      <c r="C72" s="28">
        <v>75829</v>
      </c>
      <c r="D72" s="28">
        <v>74402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82</v>
      </c>
      <c r="B73" s="39"/>
      <c r="C73" s="39"/>
      <c r="D73" s="39"/>
      <c r="G73" t="s">
        <v>475</v>
      </c>
    </row>
    <row r="74" spans="1:7" ht="23.25" x14ac:dyDescent="0.35">
      <c r="A74" s="32" t="s">
        <v>164</v>
      </c>
      <c r="G74" t="s">
        <v>460</v>
      </c>
    </row>
    <row r="75" spans="1:7" ht="30" x14ac:dyDescent="0.25">
      <c r="A75" s="31" t="s">
        <v>483</v>
      </c>
    </row>
    <row r="76" spans="1:7" ht="30" x14ac:dyDescent="0.25">
      <c r="A76" s="31" t="s">
        <v>484</v>
      </c>
      <c r="G76" t="s">
        <v>287</v>
      </c>
    </row>
    <row r="77" spans="1:7" ht="45" x14ac:dyDescent="0.25">
      <c r="A77" s="31" t="s">
        <v>485</v>
      </c>
      <c r="G77" t="s">
        <v>476</v>
      </c>
    </row>
    <row r="78" spans="1:7" ht="30" x14ac:dyDescent="0.25">
      <c r="A78" s="31" t="s">
        <v>486</v>
      </c>
      <c r="G78" t="s">
        <v>477</v>
      </c>
    </row>
    <row r="79" spans="1:7" ht="45" x14ac:dyDescent="0.25">
      <c r="A79" s="31" t="s">
        <v>487</v>
      </c>
      <c r="G79" t="s">
        <v>478</v>
      </c>
    </row>
    <row r="80" spans="1:7" ht="30" x14ac:dyDescent="0.25">
      <c r="A80" s="31" t="s">
        <v>488</v>
      </c>
      <c r="G80" t="s">
        <v>479</v>
      </c>
    </row>
    <row r="81" spans="1:7" ht="45" x14ac:dyDescent="0.25">
      <c r="A81" s="31" t="s">
        <v>489</v>
      </c>
      <c r="G81" t="s">
        <v>480</v>
      </c>
    </row>
    <row r="82" spans="1:7" ht="45" x14ac:dyDescent="0.25">
      <c r="A82" s="31" t="s">
        <v>490</v>
      </c>
      <c r="G82" t="s">
        <v>481</v>
      </c>
    </row>
    <row r="83" spans="1:7" ht="30" x14ac:dyDescent="0.25">
      <c r="A83" s="31" t="s">
        <v>491</v>
      </c>
      <c r="G83" t="s">
        <v>287</v>
      </c>
    </row>
    <row r="84" spans="1:7" ht="30" x14ac:dyDescent="0.25">
      <c r="A84" s="31" t="s">
        <v>492</v>
      </c>
      <c r="G84" t="s">
        <v>330</v>
      </c>
    </row>
    <row r="85" spans="1:7" ht="45" x14ac:dyDescent="0.25">
      <c r="A85" s="31" t="s">
        <v>493</v>
      </c>
      <c r="G85" t="s">
        <v>331</v>
      </c>
    </row>
    <row r="86" spans="1:7" ht="45" x14ac:dyDescent="0.25">
      <c r="A86" s="31" t="s">
        <v>494</v>
      </c>
      <c r="G86" t="s">
        <v>287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7763-47C2-498D-AAFC-F30CAE1284A6}">
  <dimension ref="A1:H85"/>
  <sheetViews>
    <sheetView topLeftCell="A35" workbookViewId="0">
      <selection activeCell="A74" sqref="A74:XFD75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4.8499999999999996</v>
      </c>
      <c r="C2" s="20">
        <v>4.92</v>
      </c>
      <c r="D2" s="20">
        <v>4.9000000000000004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4.25</v>
      </c>
      <c r="C4" s="20">
        <v>4.38</v>
      </c>
      <c r="D4" s="20">
        <v>4.3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3.73</v>
      </c>
      <c r="C6" s="20">
        <v>3.86</v>
      </c>
      <c r="D6" s="20">
        <v>3.78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79.010000000000005</v>
      </c>
      <c r="C8" s="20">
        <v>80.75</v>
      </c>
      <c r="D8" s="20">
        <v>80.260000000000005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108.1</v>
      </c>
      <c r="C10" s="20">
        <v>110.1</v>
      </c>
      <c r="D10" s="20">
        <v>109.6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6506</v>
      </c>
      <c r="C12" s="21">
        <v>6946</v>
      </c>
      <c r="D12" s="21">
        <v>6886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21296</v>
      </c>
      <c r="C14" s="24">
        <v>23401</v>
      </c>
      <c r="D14" s="24">
        <v>23184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2531</v>
      </c>
      <c r="C16" s="21">
        <v>2700</v>
      </c>
      <c r="D16" s="21">
        <v>2670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132</v>
      </c>
      <c r="C18" s="20">
        <v>148</v>
      </c>
      <c r="D18" s="20">
        <v>146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163</v>
      </c>
      <c r="C20" s="20">
        <v>188</v>
      </c>
      <c r="D20" s="20">
        <v>169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45.5</v>
      </c>
      <c r="C22" s="21">
        <v>47.34</v>
      </c>
      <c r="D22" s="21">
        <v>46.39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117</v>
      </c>
      <c r="B24" s="24">
        <v>3880</v>
      </c>
      <c r="C24" s="24">
        <v>4037</v>
      </c>
      <c r="D24" s="24">
        <v>4027</v>
      </c>
    </row>
    <row r="25" spans="1:8" ht="15.75" thickTop="1" x14ac:dyDescent="0.25">
      <c r="A25" s="4" t="s">
        <v>171</v>
      </c>
      <c r="B25" s="4"/>
      <c r="C25" s="4"/>
      <c r="D25" s="4"/>
      <c r="G25" t="s">
        <v>445</v>
      </c>
    </row>
    <row r="26" spans="1:8" x14ac:dyDescent="0.25">
      <c r="A26" s="20" t="s">
        <v>87</v>
      </c>
      <c r="B26" s="21">
        <v>51397</v>
      </c>
      <c r="C26" s="21">
        <v>57990</v>
      </c>
      <c r="D26" s="21">
        <v>57877</v>
      </c>
      <c r="G26" t="s">
        <v>446</v>
      </c>
    </row>
    <row r="27" spans="1:8" x14ac:dyDescent="0.25">
      <c r="A27" s="4" t="s">
        <v>36</v>
      </c>
      <c r="B27" s="4"/>
      <c r="C27" s="4"/>
      <c r="D27" s="4"/>
    </row>
    <row r="28" spans="1:8" x14ac:dyDescent="0.25">
      <c r="A28" s="26" t="s">
        <v>106</v>
      </c>
      <c r="B28" s="28">
        <v>22316</v>
      </c>
      <c r="C28" s="28">
        <v>24391</v>
      </c>
      <c r="D28" s="28">
        <v>23954</v>
      </c>
      <c r="G28" t="s">
        <v>447</v>
      </c>
    </row>
    <row r="29" spans="1:8" x14ac:dyDescent="0.25">
      <c r="A29" s="4" t="s">
        <v>38</v>
      </c>
      <c r="B29" s="4"/>
      <c r="C29" s="4"/>
      <c r="D29" s="4"/>
      <c r="G29" t="s">
        <v>448</v>
      </c>
    </row>
    <row r="30" spans="1:8" x14ac:dyDescent="0.25">
      <c r="A30" s="18" t="s">
        <v>94</v>
      </c>
      <c r="B30" s="19">
        <v>17.36</v>
      </c>
      <c r="C30" s="19">
        <v>26.68</v>
      </c>
      <c r="D30" s="19">
        <v>18.36</v>
      </c>
      <c r="H30">
        <v>14.6</v>
      </c>
    </row>
    <row r="31" spans="1:8" ht="15.75" thickBot="1" x14ac:dyDescent="0.3">
      <c r="A31" s="4" t="s">
        <v>40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107</v>
      </c>
      <c r="B32" s="25">
        <v>97.76</v>
      </c>
      <c r="C32" s="25">
        <v>100.02</v>
      </c>
      <c r="D32" s="25">
        <v>97.88</v>
      </c>
      <c r="E32" t="s">
        <v>213</v>
      </c>
      <c r="G32" t="s">
        <v>450</v>
      </c>
    </row>
    <row r="33" spans="1:7" ht="16.5" thickTop="1" thickBot="1" x14ac:dyDescent="0.3">
      <c r="A33" s="4" t="s">
        <v>42</v>
      </c>
      <c r="B33" s="4"/>
      <c r="C33" s="4"/>
      <c r="D33" s="4"/>
    </row>
    <row r="34" spans="1:7" ht="16.5" thickTop="1" thickBot="1" x14ac:dyDescent="0.3">
      <c r="A34" s="25" t="s">
        <v>103</v>
      </c>
      <c r="B34" s="25">
        <v>1.1519999999999999</v>
      </c>
      <c r="C34" s="25">
        <v>1.1870000000000001</v>
      </c>
      <c r="D34" s="25">
        <v>1.18</v>
      </c>
      <c r="G34" t="s">
        <v>451</v>
      </c>
    </row>
    <row r="35" spans="1:7" ht="15.75" thickTop="1" x14ac:dyDescent="0.25">
      <c r="A35" s="4" t="s">
        <v>44</v>
      </c>
      <c r="B35" s="4"/>
      <c r="C35" s="4"/>
      <c r="D35" s="4"/>
      <c r="G35" t="s">
        <v>452</v>
      </c>
    </row>
    <row r="36" spans="1:7" x14ac:dyDescent="0.25">
      <c r="A36" s="20" t="s">
        <v>45</v>
      </c>
      <c r="B36" s="20">
        <v>157.93</v>
      </c>
      <c r="C36" s="20">
        <v>159.99</v>
      </c>
      <c r="D36" s="20">
        <v>158.83000000000001</v>
      </c>
    </row>
    <row r="37" spans="1:7" x14ac:dyDescent="0.25">
      <c r="A37" s="4" t="s">
        <v>46</v>
      </c>
      <c r="B37" s="4"/>
      <c r="C37" s="4"/>
      <c r="D37" s="4"/>
      <c r="G37" t="s">
        <v>453</v>
      </c>
    </row>
    <row r="38" spans="1:7" x14ac:dyDescent="0.25">
      <c r="A38" s="20" t="s">
        <v>109</v>
      </c>
      <c r="B38" s="20">
        <v>1.32</v>
      </c>
      <c r="C38" s="20">
        <v>1.363</v>
      </c>
      <c r="D38" s="20">
        <v>1.3560000000000001</v>
      </c>
      <c r="G38" t="s">
        <v>454</v>
      </c>
    </row>
    <row r="39" spans="1:7" x14ac:dyDescent="0.25">
      <c r="A39" s="4" t="s">
        <v>48</v>
      </c>
      <c r="B39" s="4"/>
      <c r="C39" s="4"/>
      <c r="D39" s="4"/>
    </row>
    <row r="40" spans="1:7" x14ac:dyDescent="0.25">
      <c r="A40" s="26" t="s">
        <v>105</v>
      </c>
      <c r="B40" s="26">
        <v>0.71799999999999997</v>
      </c>
      <c r="C40" s="26">
        <v>0.73</v>
      </c>
      <c r="D40" s="26">
        <v>0.72699999999999998</v>
      </c>
      <c r="G40" t="s">
        <v>455</v>
      </c>
    </row>
    <row r="41" spans="1:7" x14ac:dyDescent="0.25">
      <c r="A41" s="4" t="s">
        <v>50</v>
      </c>
      <c r="B41" s="4"/>
      <c r="C41" s="4"/>
      <c r="D41" s="4"/>
      <c r="G41" t="s">
        <v>456</v>
      </c>
    </row>
    <row r="42" spans="1:7" x14ac:dyDescent="0.25">
      <c r="A42" s="20" t="s">
        <v>124</v>
      </c>
      <c r="B42" s="20">
        <v>94.41</v>
      </c>
      <c r="C42" s="20">
        <v>116.94</v>
      </c>
      <c r="D42" s="20">
        <v>97.29</v>
      </c>
      <c r="E42" s="40" t="s">
        <v>212</v>
      </c>
      <c r="G42" t="s">
        <v>457</v>
      </c>
    </row>
    <row r="43" spans="1:7" x14ac:dyDescent="0.25">
      <c r="A43" s="4" t="s">
        <v>52</v>
      </c>
      <c r="B43" s="4"/>
      <c r="C43" s="4"/>
      <c r="D43" s="4"/>
    </row>
    <row r="44" spans="1:7" x14ac:dyDescent="0.25">
      <c r="A44" s="20" t="s">
        <v>125</v>
      </c>
      <c r="B44" s="20">
        <v>94</v>
      </c>
      <c r="C44" s="20">
        <v>114</v>
      </c>
      <c r="D44" s="20">
        <v>99</v>
      </c>
      <c r="G44" t="s">
        <v>458</v>
      </c>
    </row>
    <row r="45" spans="1:7" x14ac:dyDescent="0.25">
      <c r="A45" s="4" t="s">
        <v>54</v>
      </c>
      <c r="B45" s="4"/>
      <c r="C45" s="4"/>
      <c r="D45" s="4"/>
      <c r="G45" t="s">
        <v>459</v>
      </c>
    </row>
    <row r="46" spans="1:7" x14ac:dyDescent="0.25">
      <c r="A46" s="18" t="s">
        <v>116</v>
      </c>
      <c r="B46" s="19">
        <v>2.5</v>
      </c>
      <c r="C46" s="19">
        <v>2.93</v>
      </c>
      <c r="D46" s="19">
        <v>2.61</v>
      </c>
      <c r="G46" t="s">
        <v>460</v>
      </c>
    </row>
    <row r="47" spans="1:7" x14ac:dyDescent="0.25">
      <c r="A47" s="4" t="s">
        <v>56</v>
      </c>
      <c r="B47" s="4"/>
      <c r="C47" s="4"/>
      <c r="D47" s="4"/>
    </row>
    <row r="48" spans="1:7" ht="45" x14ac:dyDescent="0.25">
      <c r="A48" s="20" t="s">
        <v>57</v>
      </c>
      <c r="B48" s="21">
        <v>4603</v>
      </c>
      <c r="C48" s="21">
        <v>4826</v>
      </c>
      <c r="D48" s="21">
        <v>4794</v>
      </c>
      <c r="E48" s="40" t="s">
        <v>252</v>
      </c>
      <c r="G48" t="s">
        <v>461</v>
      </c>
    </row>
    <row r="49" spans="1:7" x14ac:dyDescent="0.25">
      <c r="A49" s="4" t="s">
        <v>58</v>
      </c>
      <c r="B49" s="4"/>
      <c r="C49" s="4"/>
      <c r="D49" s="4"/>
      <c r="G49" t="s">
        <v>462</v>
      </c>
    </row>
    <row r="50" spans="1:7" x14ac:dyDescent="0.25">
      <c r="A50" s="20" t="s">
        <v>59</v>
      </c>
      <c r="B50" s="21">
        <v>5.5</v>
      </c>
      <c r="C50" s="21">
        <v>6.11</v>
      </c>
      <c r="D50" s="21">
        <v>6.04</v>
      </c>
      <c r="G50" t="s">
        <v>460</v>
      </c>
    </row>
    <row r="51" spans="1:7" ht="15.75" thickBot="1" x14ac:dyDescent="0.3">
      <c r="A51" s="4" t="s">
        <v>185</v>
      </c>
      <c r="B51" s="4"/>
      <c r="C51" s="4"/>
      <c r="D51" s="4"/>
    </row>
    <row r="52" spans="1:7" ht="16.5" thickTop="1" thickBot="1" x14ac:dyDescent="0.3">
      <c r="A52" s="27" t="s">
        <v>233</v>
      </c>
      <c r="B52" s="27">
        <v>71</v>
      </c>
      <c r="C52" s="27">
        <v>79</v>
      </c>
      <c r="D52" s="27">
        <v>78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62</v>
      </c>
      <c r="B53" s="4"/>
      <c r="C53" s="4"/>
      <c r="D53" s="4"/>
      <c r="G53" t="s">
        <v>464</v>
      </c>
    </row>
    <row r="54" spans="1:7" x14ac:dyDescent="0.25">
      <c r="A54" s="18" t="s">
        <v>63</v>
      </c>
      <c r="B54" s="18">
        <v>360</v>
      </c>
      <c r="C54" s="18">
        <v>390</v>
      </c>
      <c r="D54" s="18">
        <v>384</v>
      </c>
      <c r="G54" t="s">
        <v>460</v>
      </c>
    </row>
    <row r="55" spans="1:7" x14ac:dyDescent="0.25">
      <c r="A55" s="4" t="s">
        <v>64</v>
      </c>
      <c r="B55" s="4"/>
      <c r="C55" s="4"/>
      <c r="D55" s="4"/>
    </row>
    <row r="56" spans="1:7" x14ac:dyDescent="0.25">
      <c r="A56" s="20" t="s">
        <v>65</v>
      </c>
      <c r="B56" s="20">
        <v>250</v>
      </c>
      <c r="C56" s="20">
        <v>264</v>
      </c>
      <c r="D56" s="20">
        <v>259</v>
      </c>
      <c r="G56" t="s">
        <v>465</v>
      </c>
    </row>
    <row r="57" spans="1:7" x14ac:dyDescent="0.25">
      <c r="A57" s="4" t="s">
        <v>66</v>
      </c>
      <c r="B57" s="4"/>
      <c r="C57" s="4"/>
      <c r="D57" s="4"/>
      <c r="G57" t="s">
        <v>466</v>
      </c>
    </row>
    <row r="58" spans="1:7" x14ac:dyDescent="0.25">
      <c r="A58" s="20" t="s">
        <v>99</v>
      </c>
      <c r="B58" s="20">
        <v>219</v>
      </c>
      <c r="C58" s="20">
        <v>247</v>
      </c>
      <c r="D58" s="20">
        <v>240</v>
      </c>
      <c r="G58" t="s">
        <v>457</v>
      </c>
    </row>
    <row r="59" spans="1:7" x14ac:dyDescent="0.25">
      <c r="A59" s="4" t="s">
        <v>68</v>
      </c>
      <c r="B59" s="4"/>
      <c r="C59" s="4"/>
      <c r="D59" s="4"/>
    </row>
    <row r="60" spans="1:7" x14ac:dyDescent="0.25">
      <c r="A60" s="26" t="s">
        <v>135</v>
      </c>
      <c r="B60" s="26">
        <v>541</v>
      </c>
      <c r="C60" s="26">
        <v>651</v>
      </c>
      <c r="D60" s="26">
        <v>635</v>
      </c>
      <c r="G60" t="s">
        <v>467</v>
      </c>
    </row>
    <row r="61" spans="1:7" x14ac:dyDescent="0.25">
      <c r="A61" t="s">
        <v>70</v>
      </c>
      <c r="G61" t="s">
        <v>468</v>
      </c>
    </row>
    <row r="62" spans="1:7" x14ac:dyDescent="0.25">
      <c r="A62" s="20" t="s">
        <v>71</v>
      </c>
      <c r="B62" s="20">
        <v>303</v>
      </c>
      <c r="C62" s="20">
        <v>332</v>
      </c>
      <c r="D62" s="20">
        <v>321</v>
      </c>
      <c r="E62" s="40" t="s">
        <v>198</v>
      </c>
      <c r="G62" t="s">
        <v>457</v>
      </c>
    </row>
    <row r="63" spans="1:7" x14ac:dyDescent="0.25">
      <c r="A63" s="4" t="s">
        <v>72</v>
      </c>
      <c r="B63" s="4"/>
      <c r="C63" s="4"/>
      <c r="D63" s="4"/>
    </row>
    <row r="64" spans="1:7" x14ac:dyDescent="0.25">
      <c r="A64" s="20" t="s">
        <v>201</v>
      </c>
      <c r="B64" s="20">
        <v>94</v>
      </c>
      <c r="C64" s="20">
        <v>106</v>
      </c>
      <c r="D64" s="20">
        <v>103</v>
      </c>
      <c r="G64" t="s">
        <v>469</v>
      </c>
    </row>
    <row r="65" spans="1:7" ht="15.75" thickBot="1" x14ac:dyDescent="0.3">
      <c r="A65" s="4" t="s">
        <v>74</v>
      </c>
      <c r="B65" s="4"/>
      <c r="C65" s="4"/>
      <c r="D65" s="4"/>
      <c r="G65" t="s">
        <v>470</v>
      </c>
    </row>
    <row r="66" spans="1:7" ht="16.5" thickTop="1" thickBot="1" x14ac:dyDescent="0.3">
      <c r="A66" s="25" t="s">
        <v>75</v>
      </c>
      <c r="B66" s="25">
        <v>330</v>
      </c>
      <c r="C66" s="25">
        <v>375</v>
      </c>
      <c r="D66" s="25">
        <v>352</v>
      </c>
      <c r="G66" t="s">
        <v>471</v>
      </c>
    </row>
    <row r="67" spans="1:7" ht="15.75" thickTop="1" x14ac:dyDescent="0.25">
      <c r="A67" s="4" t="s">
        <v>76</v>
      </c>
      <c r="B67" s="4"/>
      <c r="C67" s="4"/>
      <c r="D67" s="4"/>
    </row>
    <row r="68" spans="1:7" x14ac:dyDescent="0.25">
      <c r="A68" s="20" t="s">
        <v>101</v>
      </c>
      <c r="B68" s="20">
        <v>172</v>
      </c>
      <c r="C68" s="20">
        <v>192</v>
      </c>
      <c r="D68" s="20">
        <v>189</v>
      </c>
      <c r="G68" t="s">
        <v>472</v>
      </c>
    </row>
    <row r="69" spans="1:7" x14ac:dyDescent="0.25">
      <c r="A69" s="4" t="s">
        <v>78</v>
      </c>
      <c r="B69" s="4"/>
      <c r="C69" s="4"/>
      <c r="D69" s="4"/>
      <c r="G69" t="s">
        <v>473</v>
      </c>
    </row>
    <row r="70" spans="1:7" x14ac:dyDescent="0.25">
      <c r="A70" s="18" t="s">
        <v>79</v>
      </c>
      <c r="B70" s="19">
        <v>136</v>
      </c>
      <c r="C70" s="19">
        <v>162</v>
      </c>
      <c r="D70" s="19">
        <v>156</v>
      </c>
      <c r="G70" t="s">
        <v>457</v>
      </c>
    </row>
    <row r="71" spans="1:7" x14ac:dyDescent="0.25">
      <c r="A71" s="4" t="s">
        <v>80</v>
      </c>
      <c r="B71" s="4"/>
      <c r="C71" s="4"/>
      <c r="D71" s="4"/>
    </row>
    <row r="72" spans="1:7" x14ac:dyDescent="0.25">
      <c r="A72" s="26" t="s">
        <v>102</v>
      </c>
      <c r="B72" s="28">
        <v>68609</v>
      </c>
      <c r="C72" s="28">
        <v>75829</v>
      </c>
      <c r="D72" s="28">
        <v>74402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82</v>
      </c>
      <c r="B73" s="39"/>
      <c r="C73" s="39"/>
      <c r="D73" s="39"/>
      <c r="G73" t="s">
        <v>475</v>
      </c>
    </row>
    <row r="74" spans="1:7" ht="30" x14ac:dyDescent="0.25">
      <c r="A74" s="31" t="s">
        <v>497</v>
      </c>
      <c r="G74" t="s">
        <v>287</v>
      </c>
    </row>
    <row r="75" spans="1:7" ht="30" x14ac:dyDescent="0.25">
      <c r="A75" s="31" t="s">
        <v>498</v>
      </c>
      <c r="G75" t="s">
        <v>476</v>
      </c>
    </row>
    <row r="76" spans="1:7" ht="45" x14ac:dyDescent="0.25">
      <c r="A76" s="31" t="s">
        <v>499</v>
      </c>
      <c r="G76" t="s">
        <v>477</v>
      </c>
    </row>
    <row r="77" spans="1:7" ht="30" x14ac:dyDescent="0.25">
      <c r="A77" s="31" t="s">
        <v>500</v>
      </c>
      <c r="G77" t="s">
        <v>478</v>
      </c>
    </row>
    <row r="78" spans="1:7" ht="45" x14ac:dyDescent="0.25">
      <c r="A78" s="31" t="s">
        <v>501</v>
      </c>
      <c r="G78" t="s">
        <v>479</v>
      </c>
    </row>
    <row r="79" spans="1:7" ht="30" x14ac:dyDescent="0.25">
      <c r="A79" s="31" t="s">
        <v>502</v>
      </c>
      <c r="G79" t="s">
        <v>480</v>
      </c>
    </row>
    <row r="80" spans="1:7" ht="45" x14ac:dyDescent="0.25">
      <c r="A80" s="31" t="s">
        <v>503</v>
      </c>
      <c r="G80" t="s">
        <v>481</v>
      </c>
    </row>
    <row r="81" spans="1:7" ht="45" x14ac:dyDescent="0.25">
      <c r="A81" s="31" t="s">
        <v>504</v>
      </c>
      <c r="G81" t="s">
        <v>287</v>
      </c>
    </row>
    <row r="82" spans="1:7" ht="30" x14ac:dyDescent="0.25">
      <c r="A82" s="31" t="s">
        <v>505</v>
      </c>
      <c r="G82" t="s">
        <v>330</v>
      </c>
    </row>
    <row r="83" spans="1:7" ht="30" x14ac:dyDescent="0.25">
      <c r="A83" s="31" t="s">
        <v>506</v>
      </c>
      <c r="G83" t="s">
        <v>331</v>
      </c>
    </row>
    <row r="84" spans="1:7" ht="45" x14ac:dyDescent="0.25">
      <c r="A84" s="31" t="s">
        <v>507</v>
      </c>
      <c r="G84" t="s">
        <v>287</v>
      </c>
    </row>
    <row r="85" spans="1:7" ht="45" x14ac:dyDescent="0.25">
      <c r="A85" s="31" t="s">
        <v>508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8E11-9100-42E5-9704-3FE57540AB1C}">
  <dimension ref="A1:H87"/>
  <sheetViews>
    <sheetView workbookViewId="0">
      <selection activeCell="A58" sqref="A58:D58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</v>
      </c>
      <c r="C2" s="20">
        <v>4.93</v>
      </c>
      <c r="D2" s="20">
        <v>4.87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4.22</v>
      </c>
      <c r="C4" s="20">
        <v>4.37</v>
      </c>
      <c r="D4" s="20">
        <v>4.26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3.73</v>
      </c>
      <c r="C6" s="20">
        <v>3.88</v>
      </c>
      <c r="D6" s="20">
        <v>3.76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79.44</v>
      </c>
      <c r="C8" s="20">
        <v>80.77</v>
      </c>
      <c r="D8" s="20">
        <v>80.5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108.3</v>
      </c>
      <c r="C10" s="20">
        <v>110.4</v>
      </c>
      <c r="D10" s="20">
        <v>110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6701</v>
      </c>
      <c r="C12" s="21">
        <v>7024</v>
      </c>
      <c r="D12" s="21">
        <v>6967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21348</v>
      </c>
      <c r="C14" s="24">
        <v>23794</v>
      </c>
      <c r="D14" s="24">
        <v>23639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2555</v>
      </c>
      <c r="C16" s="21">
        <v>2734</v>
      </c>
      <c r="D16" s="21">
        <v>2706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135</v>
      </c>
      <c r="C18" s="20">
        <v>150</v>
      </c>
      <c r="D18" s="20">
        <v>148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160</v>
      </c>
      <c r="C20" s="20">
        <v>184</v>
      </c>
      <c r="D20" s="20">
        <v>163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45.53</v>
      </c>
      <c r="C22" s="21">
        <v>47.39</v>
      </c>
      <c r="D22" s="21">
        <v>46.47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495</v>
      </c>
      <c r="B24" s="24">
        <v>195</v>
      </c>
      <c r="C24" s="24">
        <v>216</v>
      </c>
      <c r="D24" s="24">
        <v>209.12</v>
      </c>
    </row>
    <row r="25" spans="1:8" ht="15.75" thickTop="1" x14ac:dyDescent="0.25">
      <c r="A25" s="4" t="s">
        <v>496</v>
      </c>
      <c r="B25" s="4"/>
      <c r="C25" s="4"/>
      <c r="D25" s="4"/>
      <c r="G25" t="s">
        <v>445</v>
      </c>
    </row>
    <row r="26" spans="1:8" x14ac:dyDescent="0.25">
      <c r="A26" s="20" t="s">
        <v>117</v>
      </c>
      <c r="B26" s="21">
        <v>3881</v>
      </c>
      <c r="C26" s="21">
        <v>4060</v>
      </c>
      <c r="D26" s="21">
        <v>4027</v>
      </c>
      <c r="G26" t="s">
        <v>446</v>
      </c>
    </row>
    <row r="27" spans="1:8" x14ac:dyDescent="0.25">
      <c r="A27" s="4" t="s">
        <v>171</v>
      </c>
      <c r="B27" s="4"/>
      <c r="C27" s="4"/>
      <c r="D27" s="4"/>
    </row>
    <row r="28" spans="1:8" x14ac:dyDescent="0.25">
      <c r="A28" s="20" t="s">
        <v>87</v>
      </c>
      <c r="B28" s="21">
        <v>53341</v>
      </c>
      <c r="C28" s="21">
        <v>58801</v>
      </c>
      <c r="D28" s="21">
        <v>58134</v>
      </c>
      <c r="G28" t="s">
        <v>447</v>
      </c>
    </row>
    <row r="29" spans="1:8" x14ac:dyDescent="0.25">
      <c r="A29" s="4" t="s">
        <v>36</v>
      </c>
      <c r="B29" s="4"/>
      <c r="C29" s="4"/>
      <c r="D29" s="4"/>
      <c r="G29" t="s">
        <v>448</v>
      </c>
    </row>
    <row r="30" spans="1:8" x14ac:dyDescent="0.25">
      <c r="A30" s="26" t="s">
        <v>106</v>
      </c>
      <c r="B30" s="28">
        <v>23563</v>
      </c>
      <c r="C30" s="28">
        <v>24486</v>
      </c>
      <c r="D30" s="28">
        <v>24008</v>
      </c>
      <c r="H30">
        <v>14.6</v>
      </c>
    </row>
    <row r="31" spans="1:8" ht="15.75" thickBot="1" x14ac:dyDescent="0.3">
      <c r="A31" s="4" t="s">
        <v>38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94</v>
      </c>
      <c r="B32" s="25">
        <v>16.34</v>
      </c>
      <c r="C32" s="25">
        <v>23.08</v>
      </c>
      <c r="D32" s="25">
        <v>18.45</v>
      </c>
      <c r="E32" t="s">
        <v>213</v>
      </c>
      <c r="G32" t="s">
        <v>450</v>
      </c>
    </row>
    <row r="33" spans="1:7" ht="16.5" thickTop="1" thickBot="1" x14ac:dyDescent="0.3">
      <c r="A33" s="4" t="s">
        <v>40</v>
      </c>
      <c r="B33" s="4"/>
      <c r="C33" s="4"/>
      <c r="D33" s="4"/>
    </row>
    <row r="34" spans="1:7" ht="16.5" thickTop="1" thickBot="1" x14ac:dyDescent="0.3">
      <c r="A34" s="25" t="s">
        <v>107</v>
      </c>
      <c r="B34" s="25">
        <v>97.5</v>
      </c>
      <c r="C34" s="25">
        <v>100.01</v>
      </c>
      <c r="D34" s="25">
        <v>98</v>
      </c>
      <c r="G34" t="s">
        <v>451</v>
      </c>
    </row>
    <row r="35" spans="1:7" ht="15.75" thickTop="1" x14ac:dyDescent="0.25">
      <c r="A35" s="4" t="s">
        <v>42</v>
      </c>
      <c r="B35" s="4"/>
      <c r="C35" s="4"/>
      <c r="D35" s="4"/>
      <c r="G35" t="s">
        <v>452</v>
      </c>
    </row>
    <row r="36" spans="1:7" x14ac:dyDescent="0.25">
      <c r="A36" s="20" t="s">
        <v>103</v>
      </c>
      <c r="B36" s="20">
        <v>1.159</v>
      </c>
      <c r="C36" s="20">
        <v>1.1879999999999999</v>
      </c>
      <c r="D36" s="20">
        <v>1.1779999999999999</v>
      </c>
    </row>
    <row r="37" spans="1:7" x14ac:dyDescent="0.25">
      <c r="A37" s="4" t="s">
        <v>44</v>
      </c>
      <c r="B37" s="4"/>
      <c r="C37" s="4"/>
      <c r="D37" s="4"/>
      <c r="G37" t="s">
        <v>453</v>
      </c>
    </row>
    <row r="38" spans="1:7" x14ac:dyDescent="0.25">
      <c r="A38" s="20" t="s">
        <v>45</v>
      </c>
      <c r="B38" s="20">
        <v>158.1</v>
      </c>
      <c r="C38" s="20">
        <v>159.71</v>
      </c>
      <c r="D38" s="20">
        <v>158.93</v>
      </c>
      <c r="G38" t="s">
        <v>454</v>
      </c>
    </row>
    <row r="39" spans="1:7" x14ac:dyDescent="0.25">
      <c r="A39" s="4" t="s">
        <v>46</v>
      </c>
      <c r="B39" s="4"/>
      <c r="C39" s="4"/>
      <c r="D39" s="4"/>
    </row>
    <row r="40" spans="1:7" x14ac:dyDescent="0.25">
      <c r="A40" s="20" t="s">
        <v>109</v>
      </c>
      <c r="B40" s="20">
        <v>1.33</v>
      </c>
      <c r="C40" s="20">
        <v>1.3680000000000001</v>
      </c>
      <c r="D40" s="20">
        <v>1.3560000000000001</v>
      </c>
      <c r="G40" t="s">
        <v>455</v>
      </c>
    </row>
    <row r="41" spans="1:7" x14ac:dyDescent="0.25">
      <c r="A41" s="4" t="s">
        <v>48</v>
      </c>
      <c r="B41" s="4"/>
      <c r="C41" s="4"/>
      <c r="D41" s="4"/>
      <c r="G41" t="s">
        <v>456</v>
      </c>
    </row>
    <row r="42" spans="1:7" x14ac:dyDescent="0.25">
      <c r="A42" s="26" t="s">
        <v>105</v>
      </c>
      <c r="B42" s="26">
        <v>0.71799999999999997</v>
      </c>
      <c r="C42" s="26">
        <v>0.73</v>
      </c>
      <c r="D42" s="26">
        <v>0.72599999999999998</v>
      </c>
      <c r="E42" s="40" t="s">
        <v>212</v>
      </c>
      <c r="G42" t="s">
        <v>457</v>
      </c>
    </row>
    <row r="43" spans="1:7" x14ac:dyDescent="0.25">
      <c r="A43" s="4" t="s">
        <v>50</v>
      </c>
      <c r="B43" s="4"/>
      <c r="C43" s="4"/>
      <c r="D43" s="4"/>
    </row>
    <row r="44" spans="1:7" x14ac:dyDescent="0.25">
      <c r="A44" s="20" t="s">
        <v>124</v>
      </c>
      <c r="B44" s="20">
        <v>88.14</v>
      </c>
      <c r="C44" s="20">
        <v>117.6</v>
      </c>
      <c r="D44" s="20">
        <v>92.62</v>
      </c>
      <c r="G44" t="s">
        <v>458</v>
      </c>
    </row>
    <row r="45" spans="1:7" x14ac:dyDescent="0.25">
      <c r="A45" s="4" t="s">
        <v>52</v>
      </c>
      <c r="B45" s="4"/>
      <c r="C45" s="4"/>
      <c r="D45" s="4"/>
      <c r="G45" t="s">
        <v>459</v>
      </c>
    </row>
    <row r="46" spans="1:7" x14ac:dyDescent="0.25">
      <c r="A46" s="20" t="s">
        <v>125</v>
      </c>
      <c r="B46" s="21">
        <v>88</v>
      </c>
      <c r="C46" s="21">
        <v>114</v>
      </c>
      <c r="D46" s="21">
        <v>96</v>
      </c>
      <c r="G46" t="s">
        <v>460</v>
      </c>
    </row>
    <row r="47" spans="1:7" x14ac:dyDescent="0.25">
      <c r="A47" s="4" t="s">
        <v>54</v>
      </c>
      <c r="B47" s="4"/>
      <c r="C47" s="4"/>
      <c r="D47" s="4"/>
    </row>
    <row r="48" spans="1:7" ht="45" x14ac:dyDescent="0.25">
      <c r="A48" s="18" t="s">
        <v>116</v>
      </c>
      <c r="B48" s="19">
        <v>2.5</v>
      </c>
      <c r="C48" s="19">
        <v>2.89</v>
      </c>
      <c r="D48" s="19">
        <v>2.59</v>
      </c>
      <c r="E48" s="40" t="s">
        <v>252</v>
      </c>
      <c r="G48" t="s">
        <v>461</v>
      </c>
    </row>
    <row r="49" spans="1:7" x14ac:dyDescent="0.25">
      <c r="A49" s="4" t="s">
        <v>56</v>
      </c>
      <c r="B49" s="4"/>
      <c r="C49" s="4"/>
      <c r="D49" s="4"/>
      <c r="G49" t="s">
        <v>462</v>
      </c>
    </row>
    <row r="50" spans="1:7" x14ac:dyDescent="0.25">
      <c r="A50" s="20" t="s">
        <v>57</v>
      </c>
      <c r="B50" s="21">
        <v>4630</v>
      </c>
      <c r="C50" s="21">
        <v>4852</v>
      </c>
      <c r="D50" s="21">
        <v>4817</v>
      </c>
      <c r="G50" t="s">
        <v>460</v>
      </c>
    </row>
    <row r="51" spans="1:7" ht="15.75" thickBot="1" x14ac:dyDescent="0.3">
      <c r="A51" s="4" t="s">
        <v>58</v>
      </c>
      <c r="B51" s="4"/>
      <c r="C51" s="4"/>
      <c r="D51" s="4"/>
    </row>
    <row r="52" spans="1:7" ht="16.5" thickTop="1" thickBot="1" x14ac:dyDescent="0.3">
      <c r="A52" s="23" t="s">
        <v>59</v>
      </c>
      <c r="B52" s="23">
        <v>5.54</v>
      </c>
      <c r="C52" s="23">
        <v>6.16</v>
      </c>
      <c r="D52" s="23">
        <v>6.09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185</v>
      </c>
      <c r="B53" s="4"/>
      <c r="C53" s="4"/>
      <c r="D53" s="4"/>
      <c r="G53" t="s">
        <v>464</v>
      </c>
    </row>
    <row r="54" spans="1:7" x14ac:dyDescent="0.25">
      <c r="A54" s="20" t="s">
        <v>61</v>
      </c>
      <c r="B54" s="20">
        <v>71</v>
      </c>
      <c r="C54" s="20">
        <v>81</v>
      </c>
      <c r="D54" s="20">
        <v>79</v>
      </c>
      <c r="G54" t="s">
        <v>460</v>
      </c>
    </row>
    <row r="55" spans="1:7" x14ac:dyDescent="0.25">
      <c r="A55" s="4" t="s">
        <v>62</v>
      </c>
      <c r="B55" s="4"/>
      <c r="C55" s="4"/>
      <c r="D55" s="4"/>
    </row>
    <row r="56" spans="1:7" x14ac:dyDescent="0.25">
      <c r="A56" s="18" t="s">
        <v>63</v>
      </c>
      <c r="B56" s="18">
        <v>360</v>
      </c>
      <c r="C56" s="18">
        <v>399</v>
      </c>
      <c r="D56" s="18">
        <v>393</v>
      </c>
      <c r="G56" t="s">
        <v>465</v>
      </c>
    </row>
    <row r="57" spans="1:7" x14ac:dyDescent="0.25">
      <c r="A57" s="4" t="s">
        <v>64</v>
      </c>
      <c r="B57" s="4"/>
      <c r="C57" s="4"/>
      <c r="D57" s="4"/>
      <c r="G57" t="s">
        <v>466</v>
      </c>
    </row>
    <row r="58" spans="1:7" x14ac:dyDescent="0.25">
      <c r="A58" s="26" t="s">
        <v>120</v>
      </c>
      <c r="B58" s="26">
        <v>251</v>
      </c>
      <c r="C58" s="26">
        <v>263</v>
      </c>
      <c r="D58" s="26">
        <v>259</v>
      </c>
      <c r="G58" t="s">
        <v>457</v>
      </c>
    </row>
    <row r="59" spans="1:7" x14ac:dyDescent="0.25">
      <c r="A59" s="4" t="s">
        <v>66</v>
      </c>
      <c r="B59" s="4"/>
      <c r="C59" s="4"/>
      <c r="D59" s="4"/>
    </row>
    <row r="60" spans="1:7" x14ac:dyDescent="0.25">
      <c r="A60" s="20" t="s">
        <v>99</v>
      </c>
      <c r="B60" s="20">
        <v>221</v>
      </c>
      <c r="C60" s="20">
        <v>255</v>
      </c>
      <c r="D60" s="20">
        <v>249</v>
      </c>
      <c r="G60" t="s">
        <v>467</v>
      </c>
    </row>
    <row r="61" spans="1:7" x14ac:dyDescent="0.25">
      <c r="A61" t="s">
        <v>68</v>
      </c>
      <c r="G61" t="s">
        <v>468</v>
      </c>
    </row>
    <row r="62" spans="1:7" x14ac:dyDescent="0.25">
      <c r="A62" s="20" t="s">
        <v>136</v>
      </c>
      <c r="B62" s="20">
        <v>547</v>
      </c>
      <c r="C62" s="20">
        <v>673</v>
      </c>
      <c r="D62" s="20">
        <v>662</v>
      </c>
      <c r="E62" s="40" t="s">
        <v>198</v>
      </c>
      <c r="G62" t="s">
        <v>457</v>
      </c>
    </row>
    <row r="63" spans="1:7" x14ac:dyDescent="0.25">
      <c r="A63" s="4" t="s">
        <v>70</v>
      </c>
      <c r="B63" s="4"/>
      <c r="C63" s="4"/>
      <c r="D63" s="4"/>
    </row>
    <row r="64" spans="1:7" x14ac:dyDescent="0.25">
      <c r="A64" s="20" t="s">
        <v>71</v>
      </c>
      <c r="B64" s="20">
        <v>306</v>
      </c>
      <c r="C64" s="20">
        <v>336</v>
      </c>
      <c r="D64" s="20">
        <v>333</v>
      </c>
      <c r="G64" t="s">
        <v>469</v>
      </c>
    </row>
    <row r="65" spans="1:7" ht="15.75" thickBot="1" x14ac:dyDescent="0.3">
      <c r="A65" s="4" t="s">
        <v>72</v>
      </c>
      <c r="B65" s="4"/>
      <c r="C65" s="4"/>
      <c r="D65" s="4"/>
      <c r="G65" t="s">
        <v>470</v>
      </c>
    </row>
    <row r="66" spans="1:7" ht="16.5" thickTop="1" thickBot="1" x14ac:dyDescent="0.3">
      <c r="A66" s="23" t="s">
        <v>201</v>
      </c>
      <c r="B66" s="23">
        <v>95</v>
      </c>
      <c r="C66" s="23">
        <v>111</v>
      </c>
      <c r="D66" s="23">
        <v>106</v>
      </c>
      <c r="G66" t="s">
        <v>471</v>
      </c>
    </row>
    <row r="67" spans="1:7" ht="15.75" thickTop="1" x14ac:dyDescent="0.25">
      <c r="A67" s="4" t="s">
        <v>74</v>
      </c>
      <c r="B67" s="4"/>
      <c r="C67" s="4"/>
      <c r="D67" s="4"/>
    </row>
    <row r="68" spans="1:7" x14ac:dyDescent="0.25">
      <c r="A68" s="18" t="s">
        <v>75</v>
      </c>
      <c r="B68" s="18">
        <v>331</v>
      </c>
      <c r="C68" s="18">
        <v>376</v>
      </c>
      <c r="D68" s="18">
        <v>364</v>
      </c>
      <c r="G68" t="s">
        <v>472</v>
      </c>
    </row>
    <row r="69" spans="1:7" x14ac:dyDescent="0.25">
      <c r="A69" s="4" t="s">
        <v>76</v>
      </c>
      <c r="B69" s="4"/>
      <c r="C69" s="4"/>
      <c r="D69" s="4"/>
      <c r="G69" t="s">
        <v>473</v>
      </c>
    </row>
    <row r="70" spans="1:7" x14ac:dyDescent="0.25">
      <c r="A70" s="20" t="s">
        <v>101</v>
      </c>
      <c r="B70" s="21">
        <v>181</v>
      </c>
      <c r="C70" s="21">
        <v>199</v>
      </c>
      <c r="D70" s="21">
        <v>197</v>
      </c>
      <c r="G70" t="s">
        <v>457</v>
      </c>
    </row>
    <row r="71" spans="1:7" x14ac:dyDescent="0.25">
      <c r="A71" s="4" t="s">
        <v>78</v>
      </c>
      <c r="B71" s="4"/>
      <c r="C71" s="4"/>
      <c r="D71" s="4"/>
    </row>
    <row r="72" spans="1:7" x14ac:dyDescent="0.25">
      <c r="A72" s="18" t="s">
        <v>79</v>
      </c>
      <c r="B72" s="19">
        <v>135</v>
      </c>
      <c r="C72" s="19">
        <v>165</v>
      </c>
      <c r="D72" s="19">
        <v>163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   </c>
      <c r="B73" s="39"/>
      <c r="C73" s="39"/>
      <c r="D73" s="39"/>
      <c r="G73" t="s">
        <v>475</v>
      </c>
    </row>
    <row r="74" spans="1:7" x14ac:dyDescent="0.25">
      <c r="A74" s="44" t="s">
        <v>126</v>
      </c>
      <c r="B74" s="45">
        <v>68609</v>
      </c>
      <c r="C74" s="45">
        <v>75829</v>
      </c>
      <c r="D74" s="45">
        <v>74242</v>
      </c>
      <c r="G74" t="s">
        <v>460</v>
      </c>
    </row>
    <row r="75" spans="1:7" x14ac:dyDescent="0.25">
      <c r="A75" s="39" t="s">
        <v>82</v>
      </c>
      <c r="B75" s="43"/>
      <c r="C75" s="43"/>
      <c r="D75" s="43"/>
    </row>
    <row r="76" spans="1:7" ht="30" x14ac:dyDescent="0.25">
      <c r="A76" s="31" t="s">
        <v>509</v>
      </c>
      <c r="G76" t="s">
        <v>287</v>
      </c>
    </row>
    <row r="77" spans="1:7" ht="30" x14ac:dyDescent="0.25">
      <c r="A77" s="31" t="s">
        <v>510</v>
      </c>
      <c r="G77" t="s">
        <v>476</v>
      </c>
    </row>
    <row r="78" spans="1:7" ht="45" x14ac:dyDescent="0.25">
      <c r="A78" s="31" t="s">
        <v>511</v>
      </c>
      <c r="G78" t="s">
        <v>477</v>
      </c>
    </row>
    <row r="79" spans="1:7" ht="30" x14ac:dyDescent="0.25">
      <c r="A79" s="31" t="s">
        <v>512</v>
      </c>
      <c r="G79" t="s">
        <v>478</v>
      </c>
    </row>
    <row r="80" spans="1:7" ht="45" x14ac:dyDescent="0.25">
      <c r="A80" s="31" t="s">
        <v>513</v>
      </c>
      <c r="G80" t="s">
        <v>479</v>
      </c>
    </row>
    <row r="81" spans="1:7" ht="30" x14ac:dyDescent="0.25">
      <c r="A81" s="31" t="s">
        <v>514</v>
      </c>
      <c r="G81" t="s">
        <v>480</v>
      </c>
    </row>
    <row r="82" spans="1:7" ht="45" x14ac:dyDescent="0.25">
      <c r="A82" s="31" t="s">
        <v>515</v>
      </c>
      <c r="G82" t="s">
        <v>481</v>
      </c>
    </row>
    <row r="83" spans="1:7" ht="45" x14ac:dyDescent="0.25">
      <c r="A83" s="31" t="s">
        <v>516</v>
      </c>
      <c r="G83" t="s">
        <v>287</v>
      </c>
    </row>
    <row r="84" spans="1:7" ht="30" x14ac:dyDescent="0.25">
      <c r="A84" s="31" t="s">
        <v>517</v>
      </c>
      <c r="G84" t="s">
        <v>330</v>
      </c>
    </row>
    <row r="85" spans="1:7" ht="30" x14ac:dyDescent="0.25">
      <c r="A85" s="31" t="s">
        <v>518</v>
      </c>
      <c r="G85" t="s">
        <v>331</v>
      </c>
    </row>
    <row r="86" spans="1:7" ht="45" x14ac:dyDescent="0.25">
      <c r="A86" s="31" t="s">
        <v>519</v>
      </c>
      <c r="G86" t="s">
        <v>287</v>
      </c>
    </row>
    <row r="87" spans="1:7" ht="45" x14ac:dyDescent="0.25">
      <c r="A87" s="31" t="s">
        <v>520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36A9-9561-48C5-806D-920703181C9D}">
  <dimension ref="A1:H87"/>
  <sheetViews>
    <sheetView topLeftCell="A66" workbookViewId="0">
      <selection activeCell="C77" sqref="C77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4.84</v>
      </c>
      <c r="C2" s="20">
        <v>4.9400000000000004</v>
      </c>
      <c r="D2" s="20">
        <v>4.8899999999999997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4.2300000000000004</v>
      </c>
      <c r="C4" s="20">
        <v>4.37</v>
      </c>
      <c r="D4" s="20">
        <v>4.29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3.73</v>
      </c>
      <c r="C6" s="20">
        <v>3.87</v>
      </c>
      <c r="D6" s="20">
        <v>3.76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79.64</v>
      </c>
      <c r="C8" s="20">
        <v>80.77</v>
      </c>
      <c r="D8" s="20">
        <v>80.459999999999994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108.9</v>
      </c>
      <c r="C10" s="20">
        <v>110.4</v>
      </c>
      <c r="D10" s="20">
        <v>109.9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6724</v>
      </c>
      <c r="C12" s="21">
        <v>7099</v>
      </c>
      <c r="D12" s="21">
        <v>7023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22499</v>
      </c>
      <c r="C14" s="24">
        <v>24217</v>
      </c>
      <c r="D14" s="24">
        <v>24016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2585</v>
      </c>
      <c r="C16" s="21">
        <v>2750</v>
      </c>
      <c r="D16" s="21">
        <v>2714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139</v>
      </c>
      <c r="C18" s="20">
        <v>153</v>
      </c>
      <c r="D18" s="20">
        <v>150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159</v>
      </c>
      <c r="C20" s="20">
        <v>184</v>
      </c>
      <c r="D20" s="20">
        <v>164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45.6</v>
      </c>
      <c r="C22" s="21">
        <v>47.32</v>
      </c>
      <c r="D22" s="21">
        <v>46.02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495</v>
      </c>
      <c r="B24" s="24">
        <v>197</v>
      </c>
      <c r="C24" s="24">
        <v>216</v>
      </c>
      <c r="D24" s="24">
        <v>211.13</v>
      </c>
    </row>
    <row r="25" spans="1:8" ht="15.75" thickTop="1" x14ac:dyDescent="0.25">
      <c r="A25" s="4" t="s">
        <v>496</v>
      </c>
      <c r="B25" s="4"/>
      <c r="C25" s="4"/>
      <c r="D25" s="4"/>
      <c r="G25" t="s">
        <v>445</v>
      </c>
    </row>
    <row r="26" spans="1:8" x14ac:dyDescent="0.25">
      <c r="A26" s="20" t="s">
        <v>117</v>
      </c>
      <c r="B26" s="21">
        <v>3905</v>
      </c>
      <c r="C26" s="21">
        <v>4078</v>
      </c>
      <c r="D26" s="21">
        <v>4056</v>
      </c>
      <c r="G26" t="s">
        <v>446</v>
      </c>
    </row>
    <row r="27" spans="1:8" x14ac:dyDescent="0.25">
      <c r="A27" s="4" t="s">
        <v>171</v>
      </c>
      <c r="B27" s="4"/>
      <c r="C27" s="4"/>
      <c r="D27" s="4"/>
    </row>
    <row r="28" spans="1:8" x14ac:dyDescent="0.25">
      <c r="A28" s="20" t="s">
        <v>87</v>
      </c>
      <c r="B28" s="21">
        <v>54903</v>
      </c>
      <c r="C28" s="21">
        <v>59601</v>
      </c>
      <c r="D28" s="21">
        <v>59518</v>
      </c>
      <c r="G28" t="s">
        <v>447</v>
      </c>
    </row>
    <row r="29" spans="1:8" x14ac:dyDescent="0.25">
      <c r="A29" s="4" t="s">
        <v>36</v>
      </c>
      <c r="B29" s="4"/>
      <c r="C29" s="4"/>
      <c r="D29" s="4"/>
      <c r="G29" t="s">
        <v>448</v>
      </c>
    </row>
    <row r="30" spans="1:8" x14ac:dyDescent="0.25">
      <c r="A30" s="26" t="s">
        <v>106</v>
      </c>
      <c r="B30" s="28">
        <v>22814</v>
      </c>
      <c r="C30" s="28">
        <v>24493</v>
      </c>
      <c r="D30" s="28">
        <v>24182</v>
      </c>
      <c r="H30">
        <v>14.6</v>
      </c>
    </row>
    <row r="31" spans="1:8" ht="15.75" thickBot="1" x14ac:dyDescent="0.3">
      <c r="A31" s="4" t="s">
        <v>38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94</v>
      </c>
      <c r="B32" s="25">
        <v>16.04</v>
      </c>
      <c r="C32" s="25">
        <v>23.78</v>
      </c>
      <c r="D32" s="25">
        <v>18.149999999999999</v>
      </c>
      <c r="E32" t="s">
        <v>213</v>
      </c>
      <c r="G32" t="s">
        <v>450</v>
      </c>
    </row>
    <row r="33" spans="1:7" ht="16.5" thickTop="1" thickBot="1" x14ac:dyDescent="0.3">
      <c r="A33" s="4" t="s">
        <v>40</v>
      </c>
      <c r="B33" s="4"/>
      <c r="C33" s="4"/>
      <c r="D33" s="4"/>
    </row>
    <row r="34" spans="1:7" ht="16.5" thickTop="1" thickBot="1" x14ac:dyDescent="0.3">
      <c r="A34" s="25" t="s">
        <v>107</v>
      </c>
      <c r="B34" s="25">
        <v>97.41</v>
      </c>
      <c r="C34" s="25">
        <v>99.54</v>
      </c>
      <c r="D34" s="25">
        <v>98.04</v>
      </c>
      <c r="G34" t="s">
        <v>451</v>
      </c>
    </row>
    <row r="35" spans="1:7" ht="15.75" thickTop="1" x14ac:dyDescent="0.25">
      <c r="A35" s="4" t="s">
        <v>42</v>
      </c>
      <c r="B35" s="4"/>
      <c r="C35" s="4"/>
      <c r="D35" s="4"/>
      <c r="G35" t="s">
        <v>452</v>
      </c>
    </row>
    <row r="36" spans="1:7" x14ac:dyDescent="0.25">
      <c r="A36" s="20" t="s">
        <v>103</v>
      </c>
      <c r="B36" s="20">
        <v>1.1619999999999999</v>
      </c>
      <c r="C36" s="20">
        <v>1.1879999999999999</v>
      </c>
      <c r="D36" s="20">
        <v>1.1779999999999999</v>
      </c>
    </row>
    <row r="37" spans="1:7" x14ac:dyDescent="0.25">
      <c r="A37" s="4" t="s">
        <v>44</v>
      </c>
      <c r="B37" s="4"/>
      <c r="C37" s="4"/>
      <c r="D37" s="4"/>
      <c r="G37" t="s">
        <v>453</v>
      </c>
    </row>
    <row r="38" spans="1:7" x14ac:dyDescent="0.25">
      <c r="A38" s="20" t="s">
        <v>45</v>
      </c>
      <c r="B38" s="20">
        <v>158.21</v>
      </c>
      <c r="C38" s="20">
        <v>159.99</v>
      </c>
      <c r="D38" s="20">
        <v>159.04</v>
      </c>
      <c r="G38" t="s">
        <v>454</v>
      </c>
    </row>
    <row r="39" spans="1:7" x14ac:dyDescent="0.25">
      <c r="A39" s="4" t="s">
        <v>46</v>
      </c>
      <c r="B39" s="4"/>
      <c r="C39" s="4"/>
      <c r="D39" s="4"/>
    </row>
    <row r="40" spans="1:7" x14ac:dyDescent="0.25">
      <c r="A40" s="20" t="s">
        <v>109</v>
      </c>
      <c r="B40" s="20">
        <v>1.33</v>
      </c>
      <c r="C40" s="20">
        <v>1.3680000000000001</v>
      </c>
      <c r="D40" s="20">
        <v>1.3540000000000001</v>
      </c>
      <c r="G40" t="s">
        <v>455</v>
      </c>
    </row>
    <row r="41" spans="1:7" x14ac:dyDescent="0.25">
      <c r="A41" s="4" t="s">
        <v>48</v>
      </c>
      <c r="B41" s="4"/>
      <c r="C41" s="4"/>
      <c r="D41" s="4"/>
      <c r="G41" t="s">
        <v>456</v>
      </c>
    </row>
    <row r="42" spans="1:7" x14ac:dyDescent="0.25">
      <c r="A42" s="26" t="s">
        <v>105</v>
      </c>
      <c r="B42" s="26">
        <v>0.71899999999999997</v>
      </c>
      <c r="C42" s="26">
        <v>0.73099999999999998</v>
      </c>
      <c r="D42" s="26">
        <v>0.72799999999999998</v>
      </c>
      <c r="E42" s="40" t="s">
        <v>212</v>
      </c>
      <c r="G42" t="s">
        <v>457</v>
      </c>
    </row>
    <row r="43" spans="1:7" x14ac:dyDescent="0.25">
      <c r="A43" s="4" t="s">
        <v>50</v>
      </c>
      <c r="B43" s="4"/>
      <c r="C43" s="4"/>
      <c r="D43" s="4"/>
    </row>
    <row r="44" spans="1:7" x14ac:dyDescent="0.25">
      <c r="A44" s="20" t="s">
        <v>124</v>
      </c>
      <c r="B44" s="20">
        <v>83.8</v>
      </c>
      <c r="C44" s="20">
        <v>117.98</v>
      </c>
      <c r="D44" s="20">
        <v>92.41</v>
      </c>
      <c r="G44" t="s">
        <v>458</v>
      </c>
    </row>
    <row r="45" spans="1:7" x14ac:dyDescent="0.25">
      <c r="A45" s="4" t="s">
        <v>52</v>
      </c>
      <c r="B45" s="4"/>
      <c r="C45" s="4"/>
      <c r="D45" s="4"/>
      <c r="G45" t="s">
        <v>459</v>
      </c>
    </row>
    <row r="46" spans="1:7" x14ac:dyDescent="0.25">
      <c r="A46" s="20" t="s">
        <v>125</v>
      </c>
      <c r="B46" s="21">
        <v>86</v>
      </c>
      <c r="C46" s="21">
        <v>114</v>
      </c>
      <c r="D46" s="21">
        <v>96</v>
      </c>
      <c r="G46" t="s">
        <v>460</v>
      </c>
    </row>
    <row r="47" spans="1:7" x14ac:dyDescent="0.25">
      <c r="A47" s="4" t="s">
        <v>54</v>
      </c>
      <c r="B47" s="4"/>
      <c r="C47" s="4"/>
      <c r="D47" s="4"/>
    </row>
    <row r="48" spans="1:7" ht="45" x14ac:dyDescent="0.25">
      <c r="A48" s="18" t="s">
        <v>116</v>
      </c>
      <c r="B48" s="19">
        <v>2.5099999999999998</v>
      </c>
      <c r="C48" s="19">
        <v>2.89</v>
      </c>
      <c r="D48" s="19">
        <v>2.61</v>
      </c>
      <c r="E48" s="40" t="s">
        <v>252</v>
      </c>
      <c r="G48" t="s">
        <v>461</v>
      </c>
    </row>
    <row r="49" spans="1:7" x14ac:dyDescent="0.25">
      <c r="A49" s="4" t="s">
        <v>56</v>
      </c>
      <c r="B49" s="4"/>
      <c r="C49" s="4"/>
      <c r="D49" s="4"/>
      <c r="G49" t="s">
        <v>462</v>
      </c>
    </row>
    <row r="50" spans="1:7" x14ac:dyDescent="0.25">
      <c r="A50" s="20" t="s">
        <v>57</v>
      </c>
      <c r="B50" s="21">
        <v>4625</v>
      </c>
      <c r="C50" s="21">
        <v>4863</v>
      </c>
      <c r="D50" s="21">
        <v>4833</v>
      </c>
      <c r="G50" t="s">
        <v>460</v>
      </c>
    </row>
    <row r="51" spans="1:7" ht="15.75" thickBot="1" x14ac:dyDescent="0.3">
      <c r="A51" s="4" t="s">
        <v>58</v>
      </c>
      <c r="B51" s="4"/>
      <c r="C51" s="4"/>
      <c r="D51" s="4"/>
    </row>
    <row r="52" spans="1:7" ht="16.5" thickTop="1" thickBot="1" x14ac:dyDescent="0.3">
      <c r="A52" s="23" t="s">
        <v>59</v>
      </c>
      <c r="B52" s="23">
        <v>5.59</v>
      </c>
      <c r="C52" s="23">
        <v>6.21</v>
      </c>
      <c r="D52" s="23">
        <v>6.08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185</v>
      </c>
      <c r="B53" s="4"/>
      <c r="C53" s="4"/>
      <c r="D53" s="4"/>
      <c r="G53" t="s">
        <v>464</v>
      </c>
    </row>
    <row r="54" spans="1:7" x14ac:dyDescent="0.25">
      <c r="A54" s="20" t="s">
        <v>61</v>
      </c>
      <c r="B54" s="20">
        <v>71</v>
      </c>
      <c r="C54" s="20">
        <v>81</v>
      </c>
      <c r="D54" s="20">
        <v>80</v>
      </c>
      <c r="G54" t="s">
        <v>460</v>
      </c>
    </row>
    <row r="55" spans="1:7" x14ac:dyDescent="0.25">
      <c r="A55" s="4" t="s">
        <v>62</v>
      </c>
      <c r="B55" s="4"/>
      <c r="C55" s="4"/>
      <c r="D55" s="4"/>
    </row>
    <row r="56" spans="1:7" x14ac:dyDescent="0.25">
      <c r="A56" s="18" t="s">
        <v>63</v>
      </c>
      <c r="B56" s="18">
        <v>351</v>
      </c>
      <c r="C56" s="18">
        <v>415</v>
      </c>
      <c r="D56" s="18">
        <v>411</v>
      </c>
      <c r="G56" t="s">
        <v>465</v>
      </c>
    </row>
    <row r="57" spans="1:7" x14ac:dyDescent="0.25">
      <c r="A57" s="4" t="s">
        <v>64</v>
      </c>
      <c r="B57" s="4"/>
      <c r="C57" s="4"/>
      <c r="D57" s="4"/>
      <c r="G57" t="s">
        <v>466</v>
      </c>
    </row>
    <row r="58" spans="1:7" x14ac:dyDescent="0.25">
      <c r="A58" s="20" t="s">
        <v>65</v>
      </c>
      <c r="B58" s="20">
        <v>253</v>
      </c>
      <c r="C58" s="20">
        <v>271</v>
      </c>
      <c r="D58" s="20">
        <v>266</v>
      </c>
      <c r="G58" t="s">
        <v>457</v>
      </c>
    </row>
    <row r="59" spans="1:7" x14ac:dyDescent="0.25">
      <c r="A59" s="4" t="s">
        <v>66</v>
      </c>
      <c r="B59" s="4"/>
      <c r="C59" s="4"/>
      <c r="D59" s="4"/>
    </row>
    <row r="60" spans="1:7" x14ac:dyDescent="0.25">
      <c r="A60" s="20" t="s">
        <v>99</v>
      </c>
      <c r="B60" s="20">
        <v>227</v>
      </c>
      <c r="C60" s="20">
        <v>259</v>
      </c>
      <c r="D60" s="20">
        <v>249</v>
      </c>
      <c r="G60" t="s">
        <v>467</v>
      </c>
    </row>
    <row r="61" spans="1:7" x14ac:dyDescent="0.25">
      <c r="A61" t="s">
        <v>68</v>
      </c>
      <c r="G61" t="s">
        <v>468</v>
      </c>
    </row>
    <row r="62" spans="1:7" x14ac:dyDescent="0.25">
      <c r="A62" s="20" t="s">
        <v>136</v>
      </c>
      <c r="B62" s="20">
        <v>550</v>
      </c>
      <c r="C62" s="20">
        <v>689</v>
      </c>
      <c r="D62" s="20">
        <v>672</v>
      </c>
      <c r="E62" s="40" t="s">
        <v>198</v>
      </c>
      <c r="G62" t="s">
        <v>457</v>
      </c>
    </row>
    <row r="63" spans="1:7" x14ac:dyDescent="0.25">
      <c r="A63" s="4" t="s">
        <v>70</v>
      </c>
      <c r="B63" s="4"/>
      <c r="C63" s="4"/>
      <c r="D63" s="4"/>
    </row>
    <row r="64" spans="1:7" x14ac:dyDescent="0.25">
      <c r="A64" s="20" t="s">
        <v>71</v>
      </c>
      <c r="B64" s="20">
        <v>311</v>
      </c>
      <c r="C64" s="20">
        <v>344</v>
      </c>
      <c r="D64" s="20">
        <v>337</v>
      </c>
      <c r="G64" t="s">
        <v>469</v>
      </c>
    </row>
    <row r="65" spans="1:7" ht="15.75" thickBot="1" x14ac:dyDescent="0.3">
      <c r="A65" s="4" t="s">
        <v>72</v>
      </c>
      <c r="B65" s="4"/>
      <c r="C65" s="4"/>
      <c r="D65" s="4"/>
      <c r="G65" t="s">
        <v>470</v>
      </c>
    </row>
    <row r="66" spans="1:7" ht="16.5" thickTop="1" thickBot="1" x14ac:dyDescent="0.3">
      <c r="A66" s="23" t="s">
        <v>201</v>
      </c>
      <c r="B66" s="23">
        <v>96</v>
      </c>
      <c r="C66" s="23">
        <v>116</v>
      </c>
      <c r="D66" s="23">
        <v>108</v>
      </c>
      <c r="G66" t="s">
        <v>471</v>
      </c>
    </row>
    <row r="67" spans="1:7" ht="15.75" thickTop="1" x14ac:dyDescent="0.25">
      <c r="A67" s="4" t="s">
        <v>74</v>
      </c>
      <c r="B67" s="4"/>
      <c r="C67" s="4"/>
      <c r="D67" s="4"/>
    </row>
    <row r="68" spans="1:7" x14ac:dyDescent="0.25">
      <c r="A68" s="18" t="s">
        <v>75</v>
      </c>
      <c r="B68" s="18">
        <v>341</v>
      </c>
      <c r="C68" s="18">
        <v>399</v>
      </c>
      <c r="D68" s="18">
        <v>392</v>
      </c>
      <c r="G68" t="s">
        <v>472</v>
      </c>
    </row>
    <row r="69" spans="1:7" x14ac:dyDescent="0.25">
      <c r="A69" s="4" t="s">
        <v>76</v>
      </c>
      <c r="B69" s="4"/>
      <c r="C69" s="4"/>
      <c r="D69" s="4"/>
      <c r="G69" t="s">
        <v>473</v>
      </c>
    </row>
    <row r="70" spans="1:7" x14ac:dyDescent="0.25">
      <c r="A70" s="20" t="s">
        <v>101</v>
      </c>
      <c r="B70" s="21">
        <v>182</v>
      </c>
      <c r="C70" s="21">
        <v>202</v>
      </c>
      <c r="D70" s="21">
        <v>199</v>
      </c>
      <c r="G70" t="s">
        <v>457</v>
      </c>
    </row>
    <row r="71" spans="1:7" x14ac:dyDescent="0.25">
      <c r="A71" s="4" t="s">
        <v>78</v>
      </c>
      <c r="B71" s="4"/>
      <c r="C71" s="4"/>
      <c r="D71" s="4"/>
    </row>
    <row r="72" spans="1:7" x14ac:dyDescent="0.25">
      <c r="A72" s="18" t="s">
        <v>79</v>
      </c>
      <c r="B72" s="19">
        <v>133</v>
      </c>
      <c r="C72" s="19">
        <v>171</v>
      </c>
      <c r="D72" s="19">
        <v>170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   </c>
      <c r="B73" s="39"/>
      <c r="C73" s="39"/>
      <c r="D73" s="39"/>
      <c r="G73" t="s">
        <v>475</v>
      </c>
    </row>
    <row r="74" spans="1:7" x14ac:dyDescent="0.25">
      <c r="A74" s="44" t="s">
        <v>126</v>
      </c>
      <c r="B74" s="45">
        <v>70007</v>
      </c>
      <c r="C74" s="45">
        <v>76080</v>
      </c>
      <c r="D74" s="45">
        <v>74335</v>
      </c>
      <c r="G74" t="s">
        <v>460</v>
      </c>
    </row>
    <row r="75" spans="1:7" x14ac:dyDescent="0.25">
      <c r="A75" s="39" t="s">
        <v>82</v>
      </c>
      <c r="B75" s="43"/>
      <c r="C75" s="43"/>
      <c r="D75" s="43"/>
    </row>
    <row r="76" spans="1:7" ht="30" x14ac:dyDescent="0.25">
      <c r="A76" s="31" t="s">
        <v>509</v>
      </c>
      <c r="G76" t="s">
        <v>287</v>
      </c>
    </row>
    <row r="77" spans="1:7" ht="30" x14ac:dyDescent="0.25">
      <c r="A77" s="31" t="s">
        <v>510</v>
      </c>
      <c r="G77" t="s">
        <v>476</v>
      </c>
    </row>
    <row r="78" spans="1:7" ht="45" x14ac:dyDescent="0.25">
      <c r="A78" s="31" t="s">
        <v>511</v>
      </c>
      <c r="G78" t="s">
        <v>477</v>
      </c>
    </row>
    <row r="79" spans="1:7" ht="30" x14ac:dyDescent="0.25">
      <c r="A79" s="31" t="s">
        <v>512</v>
      </c>
      <c r="G79" t="s">
        <v>478</v>
      </c>
    </row>
    <row r="80" spans="1:7" ht="45" x14ac:dyDescent="0.25">
      <c r="A80" s="31" t="s">
        <v>513</v>
      </c>
      <c r="G80" t="s">
        <v>479</v>
      </c>
    </row>
    <row r="81" spans="1:7" ht="30" x14ac:dyDescent="0.25">
      <c r="A81" s="31" t="s">
        <v>514</v>
      </c>
      <c r="G81" t="s">
        <v>480</v>
      </c>
    </row>
    <row r="82" spans="1:7" ht="45" x14ac:dyDescent="0.25">
      <c r="A82" s="31" t="s">
        <v>515</v>
      </c>
      <c r="G82" t="s">
        <v>481</v>
      </c>
    </row>
    <row r="83" spans="1:7" ht="45" x14ac:dyDescent="0.25">
      <c r="A83" s="31" t="s">
        <v>516</v>
      </c>
      <c r="G83" t="s">
        <v>287</v>
      </c>
    </row>
    <row r="84" spans="1:7" ht="30" x14ac:dyDescent="0.25">
      <c r="A84" s="31" t="s">
        <v>517</v>
      </c>
      <c r="G84" t="s">
        <v>330</v>
      </c>
    </row>
    <row r="85" spans="1:7" ht="30" x14ac:dyDescent="0.25">
      <c r="A85" s="31" t="s">
        <v>518</v>
      </c>
      <c r="G85" t="s">
        <v>331</v>
      </c>
    </row>
    <row r="86" spans="1:7" ht="45" x14ac:dyDescent="0.25">
      <c r="A86" s="31" t="s">
        <v>519</v>
      </c>
      <c r="G86" t="s">
        <v>287</v>
      </c>
    </row>
    <row r="87" spans="1:7" ht="45" x14ac:dyDescent="0.25">
      <c r="A87" s="31" t="s">
        <v>520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F594-CBBC-4074-B448-A4269F32C39C}">
  <dimension ref="A1:H87"/>
  <sheetViews>
    <sheetView workbookViewId="0">
      <selection activeCell="A42" sqref="A42:D4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4.8600000000000003</v>
      </c>
      <c r="C2" s="20">
        <v>4.96</v>
      </c>
      <c r="D2" s="20">
        <v>4.93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4.24</v>
      </c>
      <c r="C4" s="20">
        <v>4.38</v>
      </c>
      <c r="D4" s="20">
        <v>4.32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3.73</v>
      </c>
      <c r="C6" s="20">
        <v>3.89</v>
      </c>
      <c r="D6" s="20">
        <v>3.78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79.72</v>
      </c>
      <c r="C8" s="20">
        <v>80.77</v>
      </c>
      <c r="D8" s="20">
        <v>80.349999999999994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108.9</v>
      </c>
      <c r="C10" s="20">
        <v>110.3</v>
      </c>
      <c r="D10" s="20">
        <v>109.4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6752</v>
      </c>
      <c r="C12" s="21">
        <v>7149</v>
      </c>
      <c r="D12" s="21">
        <v>7041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22601</v>
      </c>
      <c r="C14" s="24">
        <v>24512</v>
      </c>
      <c r="D14" s="24">
        <v>24103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2599</v>
      </c>
      <c r="C16" s="21">
        <v>2771</v>
      </c>
      <c r="D16" s="21">
        <v>2720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140</v>
      </c>
      <c r="C18" s="20">
        <v>154</v>
      </c>
      <c r="D18" s="20">
        <v>152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158</v>
      </c>
      <c r="C20" s="20">
        <v>180</v>
      </c>
      <c r="D20" s="20">
        <v>168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45.67</v>
      </c>
      <c r="C22" s="21">
        <v>47.33</v>
      </c>
      <c r="D22" s="21">
        <v>46.35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495</v>
      </c>
      <c r="B24" s="24">
        <v>200</v>
      </c>
      <c r="C24" s="24">
        <v>220</v>
      </c>
      <c r="D24" s="24">
        <v>218.62</v>
      </c>
    </row>
    <row r="25" spans="1:8" ht="15.75" thickTop="1" x14ac:dyDescent="0.25">
      <c r="A25" s="4" t="s">
        <v>496</v>
      </c>
      <c r="B25" s="4"/>
      <c r="C25" s="4"/>
      <c r="D25" s="4"/>
      <c r="G25" t="s">
        <v>445</v>
      </c>
    </row>
    <row r="26" spans="1:8" x14ac:dyDescent="0.25">
      <c r="A26" s="20" t="s">
        <v>117</v>
      </c>
      <c r="B26" s="21">
        <v>3931</v>
      </c>
      <c r="C26" s="21">
        <v>4099</v>
      </c>
      <c r="D26" s="21">
        <v>4051</v>
      </c>
      <c r="G26" t="s">
        <v>446</v>
      </c>
    </row>
    <row r="27" spans="1:8" x14ac:dyDescent="0.25">
      <c r="A27" s="4" t="s">
        <v>171</v>
      </c>
      <c r="B27" s="4"/>
      <c r="C27" s="4"/>
      <c r="D27" s="4"/>
    </row>
    <row r="28" spans="1:8" x14ac:dyDescent="0.25">
      <c r="A28" s="20" t="s">
        <v>87</v>
      </c>
      <c r="B28" s="21">
        <v>55202</v>
      </c>
      <c r="C28" s="21">
        <v>60189</v>
      </c>
      <c r="D28" s="21">
        <v>58476</v>
      </c>
      <c r="G28" t="s">
        <v>447</v>
      </c>
    </row>
    <row r="29" spans="1:8" x14ac:dyDescent="0.25">
      <c r="A29" s="4" t="s">
        <v>36</v>
      </c>
      <c r="B29" s="4"/>
      <c r="C29" s="4"/>
      <c r="D29" s="4"/>
      <c r="G29" t="s">
        <v>448</v>
      </c>
    </row>
    <row r="30" spans="1:8" x14ac:dyDescent="0.25">
      <c r="A30" s="20" t="s">
        <v>113</v>
      </c>
      <c r="B30" s="21">
        <v>22960</v>
      </c>
      <c r="C30" s="21">
        <v>24593</v>
      </c>
      <c r="D30" s="21">
        <v>24323</v>
      </c>
      <c r="H30">
        <v>14.6</v>
      </c>
    </row>
    <row r="31" spans="1:8" ht="15.75" thickBot="1" x14ac:dyDescent="0.3">
      <c r="A31" s="4" t="s">
        <v>38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94</v>
      </c>
      <c r="B32" s="25">
        <v>15.65</v>
      </c>
      <c r="C32" s="25">
        <v>22.27</v>
      </c>
      <c r="D32" s="25">
        <v>18.100000000000001</v>
      </c>
      <c r="E32" t="s">
        <v>213</v>
      </c>
      <c r="G32" t="s">
        <v>450</v>
      </c>
    </row>
    <row r="33" spans="1:7" ht="16.5" thickTop="1" thickBot="1" x14ac:dyDescent="0.3">
      <c r="A33" s="4" t="s">
        <v>40</v>
      </c>
      <c r="B33" s="4"/>
      <c r="C33" s="4"/>
      <c r="D33" s="4"/>
    </row>
    <row r="34" spans="1:7" ht="16.5" thickTop="1" thickBot="1" x14ac:dyDescent="0.3">
      <c r="A34" s="25" t="s">
        <v>107</v>
      </c>
      <c r="B34" s="25">
        <v>97.24</v>
      </c>
      <c r="C34" s="25">
        <v>99.17</v>
      </c>
      <c r="D34" s="25">
        <v>97.92</v>
      </c>
      <c r="G34" t="s">
        <v>451</v>
      </c>
    </row>
    <row r="35" spans="1:7" ht="15.75" thickTop="1" x14ac:dyDescent="0.25">
      <c r="A35" s="4" t="s">
        <v>42</v>
      </c>
      <c r="B35" s="4"/>
      <c r="C35" s="4"/>
      <c r="D35" s="4"/>
      <c r="G35" t="s">
        <v>452</v>
      </c>
    </row>
    <row r="36" spans="1:7" x14ac:dyDescent="0.25">
      <c r="A36" s="20" t="s">
        <v>103</v>
      </c>
      <c r="B36" s="20">
        <v>1.1619999999999999</v>
      </c>
      <c r="C36" s="20">
        <v>1.1870000000000001</v>
      </c>
      <c r="D36" s="20">
        <v>1.179</v>
      </c>
    </row>
    <row r="37" spans="1:7" x14ac:dyDescent="0.25">
      <c r="A37" s="4" t="s">
        <v>44</v>
      </c>
      <c r="B37" s="4"/>
      <c r="C37" s="4"/>
      <c r="D37" s="4"/>
      <c r="G37" t="s">
        <v>453</v>
      </c>
    </row>
    <row r="38" spans="1:7" x14ac:dyDescent="0.25">
      <c r="A38" s="20" t="s">
        <v>45</v>
      </c>
      <c r="B38" s="20">
        <v>158.01</v>
      </c>
      <c r="C38" s="20">
        <v>159.76</v>
      </c>
      <c r="D38" s="20">
        <v>159.09</v>
      </c>
      <c r="G38" t="s">
        <v>454</v>
      </c>
    </row>
    <row r="39" spans="1:7" x14ac:dyDescent="0.25">
      <c r="A39" s="4" t="s">
        <v>46</v>
      </c>
      <c r="B39" s="4"/>
      <c r="C39" s="4"/>
      <c r="D39" s="4"/>
    </row>
    <row r="40" spans="1:7" x14ac:dyDescent="0.25">
      <c r="A40" s="20" t="s">
        <v>109</v>
      </c>
      <c r="B40" s="20">
        <v>1.335</v>
      </c>
      <c r="C40" s="20">
        <v>1.3640000000000001</v>
      </c>
      <c r="D40" s="20">
        <v>1.353</v>
      </c>
      <c r="G40" t="s">
        <v>455</v>
      </c>
    </row>
    <row r="41" spans="1:7" x14ac:dyDescent="0.25">
      <c r="A41" s="4" t="s">
        <v>48</v>
      </c>
      <c r="B41" s="4"/>
      <c r="C41" s="4"/>
      <c r="D41" s="4"/>
      <c r="G41" t="s">
        <v>456</v>
      </c>
    </row>
    <row r="42" spans="1:7" x14ac:dyDescent="0.25">
      <c r="A42" s="20" t="s">
        <v>110</v>
      </c>
      <c r="B42" s="20">
        <v>0.72099999999999997</v>
      </c>
      <c r="C42" s="20">
        <v>0.73299999999999998</v>
      </c>
      <c r="D42" s="20">
        <v>0.73099999999999998</v>
      </c>
      <c r="E42" s="40" t="s">
        <v>212</v>
      </c>
      <c r="G42" t="s">
        <v>457</v>
      </c>
    </row>
    <row r="43" spans="1:7" x14ac:dyDescent="0.25">
      <c r="A43" s="4" t="s">
        <v>50</v>
      </c>
      <c r="B43" s="4"/>
      <c r="C43" s="4"/>
      <c r="D43" s="4"/>
    </row>
    <row r="44" spans="1:7" x14ac:dyDescent="0.25">
      <c r="A44" s="20" t="s">
        <v>124</v>
      </c>
      <c r="B44" s="20">
        <v>83.46</v>
      </c>
      <c r="C44" s="20">
        <v>114.97</v>
      </c>
      <c r="D44" s="20">
        <v>87.71</v>
      </c>
      <c r="G44" t="s">
        <v>458</v>
      </c>
    </row>
    <row r="45" spans="1:7" x14ac:dyDescent="0.25">
      <c r="A45" s="4" t="s">
        <v>52</v>
      </c>
      <c r="B45" s="4"/>
      <c r="C45" s="4"/>
      <c r="D45" s="4"/>
      <c r="G45" t="s">
        <v>459</v>
      </c>
    </row>
    <row r="46" spans="1:7" x14ac:dyDescent="0.25">
      <c r="A46" s="20" t="s">
        <v>125</v>
      </c>
      <c r="B46" s="21">
        <v>86</v>
      </c>
      <c r="C46" s="21">
        <v>112</v>
      </c>
      <c r="D46" s="21">
        <v>96</v>
      </c>
      <c r="G46" t="s">
        <v>460</v>
      </c>
    </row>
    <row r="47" spans="1:7" x14ac:dyDescent="0.25">
      <c r="A47" s="4" t="s">
        <v>54</v>
      </c>
      <c r="B47" s="4"/>
      <c r="C47" s="4"/>
      <c r="D47" s="4"/>
    </row>
    <row r="48" spans="1:7" ht="45" x14ac:dyDescent="0.25">
      <c r="A48" s="18" t="s">
        <v>116</v>
      </c>
      <c r="B48" s="19">
        <v>2.4700000000000002</v>
      </c>
      <c r="C48" s="19">
        <v>2.86</v>
      </c>
      <c r="D48" s="19">
        <v>2.67</v>
      </c>
      <c r="E48" s="40" t="s">
        <v>252</v>
      </c>
      <c r="G48" t="s">
        <v>461</v>
      </c>
    </row>
    <row r="49" spans="1:7" x14ac:dyDescent="0.25">
      <c r="A49" s="4" t="s">
        <v>56</v>
      </c>
      <c r="B49" s="4"/>
      <c r="C49" s="4"/>
      <c r="D49" s="4"/>
      <c r="G49" t="s">
        <v>462</v>
      </c>
    </row>
    <row r="50" spans="1:7" x14ac:dyDescent="0.25">
      <c r="A50" s="20" t="s">
        <v>57</v>
      </c>
      <c r="B50" s="21">
        <v>4657</v>
      </c>
      <c r="C50" s="21">
        <v>4876</v>
      </c>
      <c r="D50" s="21">
        <v>4809</v>
      </c>
      <c r="G50" t="s">
        <v>460</v>
      </c>
    </row>
    <row r="51" spans="1:7" ht="15.75" thickBot="1" x14ac:dyDescent="0.3">
      <c r="A51" s="4" t="s">
        <v>58</v>
      </c>
      <c r="B51" s="4"/>
      <c r="C51" s="4"/>
      <c r="D51" s="4"/>
    </row>
    <row r="52" spans="1:7" ht="16.5" thickTop="1" thickBot="1" x14ac:dyDescent="0.3">
      <c r="A52" s="23" t="s">
        <v>59</v>
      </c>
      <c r="B52" s="23">
        <v>5.62</v>
      </c>
      <c r="C52" s="23">
        <v>6.21</v>
      </c>
      <c r="D52" s="23">
        <v>6.05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185</v>
      </c>
      <c r="B53" s="4"/>
      <c r="C53" s="4"/>
      <c r="D53" s="4"/>
      <c r="G53" t="s">
        <v>464</v>
      </c>
    </row>
    <row r="54" spans="1:7" x14ac:dyDescent="0.25">
      <c r="A54" s="20" t="s">
        <v>61</v>
      </c>
      <c r="B54" s="20">
        <v>72</v>
      </c>
      <c r="C54" s="20">
        <v>82</v>
      </c>
      <c r="D54" s="20">
        <v>79</v>
      </c>
      <c r="G54" t="s">
        <v>460</v>
      </c>
    </row>
    <row r="55" spans="1:7" x14ac:dyDescent="0.25">
      <c r="A55" s="4" t="s">
        <v>62</v>
      </c>
      <c r="B55" s="4"/>
      <c r="C55" s="4"/>
      <c r="D55" s="4"/>
    </row>
    <row r="56" spans="1:7" x14ac:dyDescent="0.25">
      <c r="A56" s="18" t="s">
        <v>63</v>
      </c>
      <c r="B56" s="18">
        <v>353</v>
      </c>
      <c r="C56" s="18">
        <v>425</v>
      </c>
      <c r="D56" s="18">
        <v>420</v>
      </c>
      <c r="G56" t="s">
        <v>465</v>
      </c>
    </row>
    <row r="57" spans="1:7" x14ac:dyDescent="0.25">
      <c r="A57" s="4" t="s">
        <v>64</v>
      </c>
      <c r="B57" s="4"/>
      <c r="C57" s="4"/>
      <c r="D57" s="4"/>
      <c r="G57" t="s">
        <v>466</v>
      </c>
    </row>
    <row r="58" spans="1:7" x14ac:dyDescent="0.25">
      <c r="A58" s="20" t="s">
        <v>65</v>
      </c>
      <c r="B58" s="20">
        <v>253</v>
      </c>
      <c r="C58" s="20">
        <v>269</v>
      </c>
      <c r="D58" s="20">
        <v>263</v>
      </c>
      <c r="G58" t="s">
        <v>457</v>
      </c>
    </row>
    <row r="59" spans="1:7" x14ac:dyDescent="0.25">
      <c r="A59" s="4" t="s">
        <v>66</v>
      </c>
      <c r="B59" s="4"/>
      <c r="C59" s="4"/>
      <c r="D59" s="4"/>
    </row>
    <row r="60" spans="1:7" x14ac:dyDescent="0.25">
      <c r="A60" s="20" t="s">
        <v>99</v>
      </c>
      <c r="B60" s="20">
        <v>233</v>
      </c>
      <c r="C60" s="20">
        <v>263</v>
      </c>
      <c r="D60" s="20">
        <v>250</v>
      </c>
      <c r="G60" t="s">
        <v>467</v>
      </c>
    </row>
    <row r="61" spans="1:7" x14ac:dyDescent="0.25">
      <c r="A61" t="s">
        <v>68</v>
      </c>
      <c r="G61" t="s">
        <v>468</v>
      </c>
    </row>
    <row r="62" spans="1:7" x14ac:dyDescent="0.25">
      <c r="A62" s="20" t="s">
        <v>136</v>
      </c>
      <c r="B62" s="20">
        <v>570</v>
      </c>
      <c r="C62" s="20">
        <v>703</v>
      </c>
      <c r="D62" s="20">
        <v>677</v>
      </c>
      <c r="E62" s="40" t="s">
        <v>198</v>
      </c>
      <c r="G62" t="s">
        <v>457</v>
      </c>
    </row>
    <row r="63" spans="1:7" x14ac:dyDescent="0.25">
      <c r="A63" s="4" t="s">
        <v>70</v>
      </c>
      <c r="B63" s="4"/>
      <c r="C63" s="4"/>
      <c r="D63" s="4"/>
    </row>
    <row r="64" spans="1:7" x14ac:dyDescent="0.25">
      <c r="A64" s="20" t="s">
        <v>71</v>
      </c>
      <c r="B64" s="20">
        <v>311</v>
      </c>
      <c r="C64" s="20">
        <v>347</v>
      </c>
      <c r="D64" s="20">
        <v>336</v>
      </c>
      <c r="G64" t="s">
        <v>469</v>
      </c>
    </row>
    <row r="65" spans="1:7" ht="15.75" thickBot="1" x14ac:dyDescent="0.3">
      <c r="A65" s="4" t="s">
        <v>72</v>
      </c>
      <c r="B65" s="4"/>
      <c r="C65" s="4"/>
      <c r="D65" s="4"/>
      <c r="G65" t="s">
        <v>470</v>
      </c>
    </row>
    <row r="66" spans="1:7" ht="16.5" thickTop="1" thickBot="1" x14ac:dyDescent="0.3">
      <c r="A66" s="23" t="s">
        <v>201</v>
      </c>
      <c r="B66" s="23">
        <v>95</v>
      </c>
      <c r="C66" s="23">
        <v>110</v>
      </c>
      <c r="D66" s="23">
        <v>108</v>
      </c>
      <c r="G66" t="s">
        <v>471</v>
      </c>
    </row>
    <row r="67" spans="1:7" ht="15.75" thickTop="1" x14ac:dyDescent="0.25">
      <c r="A67" s="4" t="s">
        <v>74</v>
      </c>
      <c r="B67" s="4"/>
      <c r="C67" s="4"/>
      <c r="D67" s="4"/>
    </row>
    <row r="68" spans="1:7" x14ac:dyDescent="0.25">
      <c r="A68" s="18" t="s">
        <v>75</v>
      </c>
      <c r="B68" s="18">
        <v>342</v>
      </c>
      <c r="C68" s="18">
        <v>398</v>
      </c>
      <c r="D68" s="18">
        <v>389</v>
      </c>
      <c r="G68" t="s">
        <v>472</v>
      </c>
    </row>
    <row r="69" spans="1:7" x14ac:dyDescent="0.25">
      <c r="A69" s="4" t="s">
        <v>76</v>
      </c>
      <c r="B69" s="4"/>
      <c r="C69" s="4"/>
      <c r="D69" s="4"/>
      <c r="G69" t="s">
        <v>473</v>
      </c>
    </row>
    <row r="70" spans="1:7" x14ac:dyDescent="0.25">
      <c r="A70" s="20" t="s">
        <v>101</v>
      </c>
      <c r="B70" s="21">
        <v>183</v>
      </c>
      <c r="C70" s="21">
        <v>204</v>
      </c>
      <c r="D70" s="21">
        <v>198</v>
      </c>
      <c r="G70" t="s">
        <v>457</v>
      </c>
    </row>
    <row r="71" spans="1:7" x14ac:dyDescent="0.25">
      <c r="A71" s="4" t="s">
        <v>78</v>
      </c>
      <c r="B71" s="4"/>
      <c r="C71" s="4"/>
      <c r="D71" s="4"/>
    </row>
    <row r="72" spans="1:7" x14ac:dyDescent="0.25">
      <c r="A72" s="18" t="s">
        <v>79</v>
      </c>
      <c r="B72" s="19">
        <v>130</v>
      </c>
      <c r="C72" s="19">
        <v>182</v>
      </c>
      <c r="D72" s="19">
        <v>178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   </c>
      <c r="B73" s="39"/>
      <c r="C73" s="39"/>
      <c r="D73" s="39"/>
      <c r="G73" t="s">
        <v>475</v>
      </c>
    </row>
    <row r="74" spans="1:7" x14ac:dyDescent="0.25">
      <c r="A74" s="44" t="s">
        <v>126</v>
      </c>
      <c r="B74" s="45">
        <v>71174</v>
      </c>
      <c r="C74" s="45">
        <v>76973</v>
      </c>
      <c r="D74" s="45">
        <v>75308</v>
      </c>
      <c r="G74" t="s">
        <v>460</v>
      </c>
    </row>
    <row r="75" spans="1:7" x14ac:dyDescent="0.25">
      <c r="A75" s="39" t="s">
        <v>82</v>
      </c>
      <c r="B75" s="43"/>
      <c r="C75" s="43"/>
      <c r="D75" s="43"/>
    </row>
    <row r="76" spans="1:7" ht="30" x14ac:dyDescent="0.25">
      <c r="A76" s="31" t="s">
        <v>509</v>
      </c>
      <c r="G76" t="s">
        <v>287</v>
      </c>
    </row>
    <row r="77" spans="1:7" ht="30" x14ac:dyDescent="0.25">
      <c r="A77" s="31" t="s">
        <v>510</v>
      </c>
      <c r="G77" t="s">
        <v>476</v>
      </c>
    </row>
    <row r="78" spans="1:7" ht="45" x14ac:dyDescent="0.25">
      <c r="A78" s="31" t="s">
        <v>511</v>
      </c>
      <c r="G78" t="s">
        <v>477</v>
      </c>
    </row>
    <row r="79" spans="1:7" ht="30" x14ac:dyDescent="0.25">
      <c r="A79" s="31" t="s">
        <v>512</v>
      </c>
      <c r="G79" t="s">
        <v>478</v>
      </c>
    </row>
    <row r="80" spans="1:7" ht="45" x14ac:dyDescent="0.25">
      <c r="A80" s="31" t="s">
        <v>513</v>
      </c>
      <c r="G80" t="s">
        <v>479</v>
      </c>
    </row>
    <row r="81" spans="1:7" ht="30" x14ac:dyDescent="0.25">
      <c r="A81" s="31" t="s">
        <v>514</v>
      </c>
      <c r="G81" t="s">
        <v>480</v>
      </c>
    </row>
    <row r="82" spans="1:7" ht="45" x14ac:dyDescent="0.25">
      <c r="A82" s="31" t="s">
        <v>515</v>
      </c>
      <c r="G82" t="s">
        <v>481</v>
      </c>
    </row>
    <row r="83" spans="1:7" ht="45" x14ac:dyDescent="0.25">
      <c r="A83" s="31" t="s">
        <v>516</v>
      </c>
      <c r="G83" t="s">
        <v>287</v>
      </c>
    </row>
    <row r="84" spans="1:7" ht="30" x14ac:dyDescent="0.25">
      <c r="A84" s="31" t="s">
        <v>517</v>
      </c>
      <c r="G84" t="s">
        <v>330</v>
      </c>
    </row>
    <row r="85" spans="1:7" ht="30" x14ac:dyDescent="0.25">
      <c r="A85" s="31" t="s">
        <v>518</v>
      </c>
      <c r="G85" t="s">
        <v>331</v>
      </c>
    </row>
    <row r="86" spans="1:7" ht="45" x14ac:dyDescent="0.25">
      <c r="A86" s="31" t="s">
        <v>519</v>
      </c>
      <c r="G86" t="s">
        <v>287</v>
      </c>
    </row>
    <row r="87" spans="1:7" ht="45" x14ac:dyDescent="0.25">
      <c r="A87" s="31" t="s">
        <v>520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5216-8B2F-4F1D-80B7-59A66FF8A6B7}">
  <dimension ref="A1:H87"/>
  <sheetViews>
    <sheetView workbookViewId="0">
      <selection activeCell="E63" sqref="E63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4.8600000000000003</v>
      </c>
      <c r="C2" s="20">
        <v>4.95</v>
      </c>
      <c r="D2" s="20">
        <v>4.88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4.22</v>
      </c>
      <c r="C4" s="20">
        <v>4.3600000000000003</v>
      </c>
      <c r="D4" s="20">
        <v>4.26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</v>
      </c>
      <c r="C6" s="20">
        <v>3.86</v>
      </c>
      <c r="D6" s="20">
        <v>3.71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79.77</v>
      </c>
      <c r="C8" s="20">
        <v>80.819999999999993</v>
      </c>
      <c r="D8" s="20">
        <v>80.650000000000006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109</v>
      </c>
      <c r="C10" s="20">
        <v>110.4</v>
      </c>
      <c r="D10" s="20">
        <v>110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6771</v>
      </c>
      <c r="C12" s="21">
        <v>7198</v>
      </c>
      <c r="D12" s="21">
        <v>7126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22701</v>
      </c>
      <c r="C14" s="24">
        <v>24830</v>
      </c>
      <c r="D14" s="24">
        <v>24468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2634</v>
      </c>
      <c r="C16" s="21">
        <v>2805</v>
      </c>
      <c r="D16" s="21">
        <v>2777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142</v>
      </c>
      <c r="C18" s="20">
        <v>157</v>
      </c>
      <c r="D18" s="20">
        <v>154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155</v>
      </c>
      <c r="C20" s="20">
        <v>179</v>
      </c>
      <c r="D20" s="20">
        <v>160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45.65</v>
      </c>
      <c r="C22" s="21">
        <v>47.33</v>
      </c>
      <c r="D22" s="21">
        <v>46.16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495</v>
      </c>
      <c r="B24" s="24">
        <v>202</v>
      </c>
      <c r="C24" s="24">
        <v>223</v>
      </c>
      <c r="D24" s="24">
        <v>220.89</v>
      </c>
    </row>
    <row r="25" spans="1:8" ht="15.75" thickTop="1" x14ac:dyDescent="0.25">
      <c r="A25" s="4" t="s">
        <v>496</v>
      </c>
      <c r="B25" s="4"/>
      <c r="C25" s="4"/>
      <c r="D25" s="4"/>
      <c r="G25" t="s">
        <v>445</v>
      </c>
    </row>
    <row r="26" spans="1:8" x14ac:dyDescent="0.25">
      <c r="A26" s="20" t="s">
        <v>117</v>
      </c>
      <c r="B26" s="21">
        <v>3900</v>
      </c>
      <c r="C26" s="21">
        <v>4099</v>
      </c>
      <c r="D26" s="21">
        <v>4082</v>
      </c>
      <c r="G26" t="s">
        <v>446</v>
      </c>
    </row>
    <row r="27" spans="1:8" x14ac:dyDescent="0.25">
      <c r="A27" s="4" t="s">
        <v>171</v>
      </c>
      <c r="B27" s="4"/>
      <c r="C27" s="4"/>
      <c r="D27" s="4"/>
    </row>
    <row r="28" spans="1:8" x14ac:dyDescent="0.25">
      <c r="A28" s="20" t="s">
        <v>87</v>
      </c>
      <c r="B28" s="21">
        <v>55493</v>
      </c>
      <c r="C28" s="21">
        <v>60309</v>
      </c>
      <c r="D28" s="21">
        <v>58825</v>
      </c>
      <c r="G28" t="s">
        <v>447</v>
      </c>
    </row>
    <row r="29" spans="1:8" x14ac:dyDescent="0.25">
      <c r="A29" s="4" t="s">
        <v>36</v>
      </c>
      <c r="B29" s="4"/>
      <c r="C29" s="4"/>
      <c r="D29" s="4"/>
      <c r="G29" t="s">
        <v>448</v>
      </c>
    </row>
    <row r="30" spans="1:8" x14ac:dyDescent="0.25">
      <c r="A30" s="20" t="s">
        <v>113</v>
      </c>
      <c r="B30" s="21">
        <v>23535</v>
      </c>
      <c r="C30" s="21">
        <v>24800</v>
      </c>
      <c r="D30" s="21">
        <v>24368</v>
      </c>
      <c r="H30">
        <v>14.6</v>
      </c>
    </row>
    <row r="31" spans="1:8" ht="15.75" thickBot="1" x14ac:dyDescent="0.3">
      <c r="A31" s="4" t="s">
        <v>38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94</v>
      </c>
      <c r="B32" s="25">
        <v>15.64</v>
      </c>
      <c r="C32" s="25">
        <v>22.12</v>
      </c>
      <c r="D32" s="25">
        <v>19.54</v>
      </c>
      <c r="E32" t="s">
        <v>213</v>
      </c>
      <c r="G32" t="s">
        <v>450</v>
      </c>
    </row>
    <row r="33" spans="1:7" ht="16.5" thickTop="1" thickBot="1" x14ac:dyDescent="0.3">
      <c r="A33" s="4" t="s">
        <v>40</v>
      </c>
      <c r="B33" s="4"/>
      <c r="C33" s="4"/>
      <c r="D33" s="4"/>
    </row>
    <row r="34" spans="1:7" ht="16.5" thickTop="1" thickBot="1" x14ac:dyDescent="0.3">
      <c r="A34" s="25" t="s">
        <v>107</v>
      </c>
      <c r="B34" s="25">
        <v>97.55</v>
      </c>
      <c r="C34" s="25">
        <v>98.95</v>
      </c>
      <c r="D34" s="25">
        <v>98.07</v>
      </c>
      <c r="G34" t="s">
        <v>451</v>
      </c>
    </row>
    <row r="35" spans="1:7" ht="15.75" thickTop="1" x14ac:dyDescent="0.25">
      <c r="A35" s="4" t="s">
        <v>42</v>
      </c>
      <c r="B35" s="4"/>
      <c r="C35" s="4"/>
      <c r="D35" s="4"/>
      <c r="G35" t="s">
        <v>452</v>
      </c>
    </row>
    <row r="36" spans="1:7" x14ac:dyDescent="0.25">
      <c r="A36" s="20" t="s">
        <v>103</v>
      </c>
      <c r="B36" s="20">
        <v>1.1639999999999999</v>
      </c>
      <c r="C36" s="20">
        <v>1.1850000000000001</v>
      </c>
      <c r="D36" s="20">
        <v>1.1759999999999999</v>
      </c>
    </row>
    <row r="37" spans="1:7" x14ac:dyDescent="0.25">
      <c r="A37" s="4" t="s">
        <v>44</v>
      </c>
      <c r="B37" s="4"/>
      <c r="C37" s="4"/>
      <c r="D37" s="4"/>
      <c r="G37" t="s">
        <v>453</v>
      </c>
    </row>
    <row r="38" spans="1:7" x14ac:dyDescent="0.25">
      <c r="A38" s="20" t="s">
        <v>45</v>
      </c>
      <c r="B38" s="20">
        <v>158.19999999999999</v>
      </c>
      <c r="C38" s="20">
        <v>159.61000000000001</v>
      </c>
      <c r="D38" s="20">
        <v>158.94</v>
      </c>
      <c r="G38" t="s">
        <v>454</v>
      </c>
    </row>
    <row r="39" spans="1:7" x14ac:dyDescent="0.25">
      <c r="A39" s="4" t="s">
        <v>46</v>
      </c>
      <c r="B39" s="4"/>
      <c r="C39" s="4"/>
      <c r="D39" s="4"/>
    </row>
    <row r="40" spans="1:7" x14ac:dyDescent="0.25">
      <c r="A40" s="20" t="s">
        <v>109</v>
      </c>
      <c r="B40" s="20">
        <v>1.337</v>
      </c>
      <c r="C40" s="20">
        <v>1.3640000000000001</v>
      </c>
      <c r="D40" s="20">
        <v>1.351</v>
      </c>
      <c r="G40" t="s">
        <v>455</v>
      </c>
    </row>
    <row r="41" spans="1:7" x14ac:dyDescent="0.25">
      <c r="A41" s="4" t="s">
        <v>48</v>
      </c>
      <c r="B41" s="4"/>
      <c r="C41" s="4"/>
      <c r="D41" s="4"/>
      <c r="G41" t="s">
        <v>456</v>
      </c>
    </row>
    <row r="42" spans="1:7" x14ac:dyDescent="0.25">
      <c r="A42" s="20" t="s">
        <v>110</v>
      </c>
      <c r="B42" s="20">
        <v>0.72</v>
      </c>
      <c r="C42" s="20">
        <v>0.73499999999999999</v>
      </c>
      <c r="D42" s="20">
        <v>0.73</v>
      </c>
      <c r="E42" s="40" t="s">
        <v>212</v>
      </c>
      <c r="G42" t="s">
        <v>457</v>
      </c>
    </row>
    <row r="43" spans="1:7" x14ac:dyDescent="0.25">
      <c r="A43" s="4" t="s">
        <v>50</v>
      </c>
      <c r="B43" s="4"/>
      <c r="C43" s="4"/>
      <c r="D43" s="4"/>
    </row>
    <row r="44" spans="1:7" x14ac:dyDescent="0.25">
      <c r="A44" s="20" t="s">
        <v>124</v>
      </c>
      <c r="B44" s="20">
        <v>81.900000000000006</v>
      </c>
      <c r="C44" s="20">
        <v>110.04</v>
      </c>
      <c r="D44" s="20">
        <v>87.17</v>
      </c>
      <c r="G44" t="s">
        <v>458</v>
      </c>
    </row>
    <row r="45" spans="1:7" x14ac:dyDescent="0.25">
      <c r="A45" s="4" t="s">
        <v>52</v>
      </c>
      <c r="B45" s="4"/>
      <c r="C45" s="4"/>
      <c r="D45" s="4"/>
      <c r="G45" t="s">
        <v>459</v>
      </c>
    </row>
    <row r="46" spans="1:7" x14ac:dyDescent="0.25">
      <c r="A46" s="20" t="s">
        <v>125</v>
      </c>
      <c r="B46" s="21">
        <v>87</v>
      </c>
      <c r="C46" s="21">
        <v>108</v>
      </c>
      <c r="D46" s="21">
        <v>95</v>
      </c>
      <c r="G46" t="s">
        <v>460</v>
      </c>
    </row>
    <row r="47" spans="1:7" x14ac:dyDescent="0.25">
      <c r="A47" s="4" t="s">
        <v>54</v>
      </c>
      <c r="B47" s="4"/>
      <c r="C47" s="4"/>
      <c r="D47" s="4"/>
    </row>
    <row r="48" spans="1:7" ht="45" x14ac:dyDescent="0.25">
      <c r="A48" s="18" t="s">
        <v>116</v>
      </c>
      <c r="B48" s="19">
        <v>2.5</v>
      </c>
      <c r="C48" s="19">
        <v>2.84</v>
      </c>
      <c r="D48" s="19">
        <v>2.73</v>
      </c>
      <c r="E48" s="40" t="s">
        <v>252</v>
      </c>
      <c r="G48" t="s">
        <v>461</v>
      </c>
    </row>
    <row r="49" spans="1:7" x14ac:dyDescent="0.25">
      <c r="A49" s="4" t="s">
        <v>56</v>
      </c>
      <c r="B49" s="4"/>
      <c r="C49" s="4"/>
      <c r="D49" s="4"/>
      <c r="G49" t="s">
        <v>462</v>
      </c>
    </row>
    <row r="50" spans="1:7" x14ac:dyDescent="0.25">
      <c r="A50" s="20" t="s">
        <v>57</v>
      </c>
      <c r="B50" s="21">
        <v>4701</v>
      </c>
      <c r="C50" s="21">
        <v>4851</v>
      </c>
      <c r="D50" s="21">
        <v>4812</v>
      </c>
      <c r="G50" t="s">
        <v>460</v>
      </c>
    </row>
    <row r="51" spans="1:7" ht="15.75" thickBot="1" x14ac:dyDescent="0.3">
      <c r="A51" s="4" t="s">
        <v>58</v>
      </c>
      <c r="B51" s="4"/>
      <c r="C51" s="4"/>
      <c r="D51" s="4"/>
    </row>
    <row r="52" spans="1:7" ht="16.5" thickTop="1" thickBot="1" x14ac:dyDescent="0.3">
      <c r="A52" s="23" t="s">
        <v>59</v>
      </c>
      <c r="B52" s="23">
        <v>5.67</v>
      </c>
      <c r="C52" s="23">
        <v>6.26</v>
      </c>
      <c r="D52" s="23">
        <v>6.02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185</v>
      </c>
      <c r="B53" s="4"/>
      <c r="C53" s="4"/>
      <c r="D53" s="4"/>
      <c r="G53" t="s">
        <v>464</v>
      </c>
    </row>
    <row r="54" spans="1:7" x14ac:dyDescent="0.25">
      <c r="A54" s="20" t="s">
        <v>61</v>
      </c>
      <c r="B54" s="20">
        <v>71</v>
      </c>
      <c r="C54" s="20">
        <v>82</v>
      </c>
      <c r="D54" s="20">
        <v>79</v>
      </c>
      <c r="G54" t="s">
        <v>460</v>
      </c>
    </row>
    <row r="55" spans="1:7" x14ac:dyDescent="0.25">
      <c r="A55" s="4" t="s">
        <v>62</v>
      </c>
      <c r="B55" s="4"/>
      <c r="C55" s="4"/>
      <c r="D55" s="4"/>
    </row>
    <row r="56" spans="1:7" x14ac:dyDescent="0.25">
      <c r="A56" s="18" t="s">
        <v>63</v>
      </c>
      <c r="B56" s="18">
        <v>351</v>
      </c>
      <c r="C56" s="18">
        <v>433</v>
      </c>
      <c r="D56" s="18">
        <v>423</v>
      </c>
      <c r="G56" t="s">
        <v>465</v>
      </c>
    </row>
    <row r="57" spans="1:7" x14ac:dyDescent="0.25">
      <c r="A57" s="4" t="s">
        <v>64</v>
      </c>
      <c r="B57" s="4"/>
      <c r="C57" s="4"/>
      <c r="D57" s="4"/>
      <c r="G57" t="s">
        <v>466</v>
      </c>
    </row>
    <row r="58" spans="1:7" x14ac:dyDescent="0.25">
      <c r="A58" s="20" t="s">
        <v>65</v>
      </c>
      <c r="B58" s="20">
        <v>256</v>
      </c>
      <c r="C58" s="20">
        <v>274</v>
      </c>
      <c r="D58" s="20">
        <v>270</v>
      </c>
      <c r="G58" t="s">
        <v>457</v>
      </c>
    </row>
    <row r="59" spans="1:7" x14ac:dyDescent="0.25">
      <c r="A59" s="4" t="s">
        <v>66</v>
      </c>
      <c r="B59" s="4"/>
      <c r="C59" s="4"/>
      <c r="D59" s="4"/>
    </row>
    <row r="60" spans="1:7" x14ac:dyDescent="0.25">
      <c r="A60" s="20" t="s">
        <v>99</v>
      </c>
      <c r="B60" s="20">
        <v>236</v>
      </c>
      <c r="C60" s="20">
        <v>264</v>
      </c>
      <c r="D60" s="20">
        <v>251</v>
      </c>
      <c r="G60" t="s">
        <v>467</v>
      </c>
    </row>
    <row r="61" spans="1:7" x14ac:dyDescent="0.25">
      <c r="A61" t="s">
        <v>68</v>
      </c>
      <c r="G61" t="s">
        <v>468</v>
      </c>
    </row>
    <row r="62" spans="1:7" x14ac:dyDescent="0.25">
      <c r="A62" s="20" t="s">
        <v>136</v>
      </c>
      <c r="B62" s="20">
        <v>624</v>
      </c>
      <c r="C62" s="20">
        <v>713</v>
      </c>
      <c r="D62" s="20">
        <v>689</v>
      </c>
      <c r="E62" s="40" t="s">
        <v>198</v>
      </c>
      <c r="G62" t="s">
        <v>457</v>
      </c>
    </row>
    <row r="63" spans="1:7" x14ac:dyDescent="0.25">
      <c r="A63" s="4" t="s">
        <v>70</v>
      </c>
      <c r="B63" s="4"/>
      <c r="C63" s="4"/>
      <c r="D63" s="4"/>
    </row>
    <row r="64" spans="1:7" x14ac:dyDescent="0.25">
      <c r="A64" s="20" t="s">
        <v>71</v>
      </c>
      <c r="B64" s="20">
        <v>313</v>
      </c>
      <c r="C64" s="20">
        <v>350</v>
      </c>
      <c r="D64" s="20">
        <v>342</v>
      </c>
      <c r="G64" t="s">
        <v>469</v>
      </c>
    </row>
    <row r="65" spans="1:7" ht="15.75" thickBot="1" x14ac:dyDescent="0.3">
      <c r="A65" s="4" t="s">
        <v>72</v>
      </c>
      <c r="B65" s="4"/>
      <c r="C65" s="4"/>
      <c r="D65" s="4"/>
      <c r="G65" t="s">
        <v>470</v>
      </c>
    </row>
    <row r="66" spans="1:7" ht="16.5" thickTop="1" thickBot="1" x14ac:dyDescent="0.3">
      <c r="A66" s="23" t="s">
        <v>201</v>
      </c>
      <c r="B66" s="23">
        <v>94</v>
      </c>
      <c r="C66" s="23">
        <v>108</v>
      </c>
      <c r="D66" s="23">
        <v>97</v>
      </c>
      <c r="G66" t="s">
        <v>471</v>
      </c>
    </row>
    <row r="67" spans="1:7" ht="15.75" thickTop="1" x14ac:dyDescent="0.25">
      <c r="A67" s="4" t="s">
        <v>74</v>
      </c>
      <c r="B67" s="4"/>
      <c r="C67" s="4"/>
      <c r="D67" s="4"/>
    </row>
    <row r="68" spans="1:7" x14ac:dyDescent="0.25">
      <c r="A68" s="26" t="s">
        <v>91</v>
      </c>
      <c r="B68" s="26">
        <v>343</v>
      </c>
      <c r="C68" s="26">
        <v>410</v>
      </c>
      <c r="D68" s="26">
        <v>401</v>
      </c>
      <c r="G68" t="s">
        <v>472</v>
      </c>
    </row>
    <row r="69" spans="1:7" x14ac:dyDescent="0.25">
      <c r="A69" s="4" t="s">
        <v>76</v>
      </c>
      <c r="B69" s="4"/>
      <c r="C69" s="4"/>
      <c r="D69" s="4"/>
      <c r="G69" t="s">
        <v>473</v>
      </c>
    </row>
    <row r="70" spans="1:7" x14ac:dyDescent="0.25">
      <c r="A70" s="20" t="s">
        <v>101</v>
      </c>
      <c r="B70" s="21">
        <v>185</v>
      </c>
      <c r="C70" s="21">
        <v>207</v>
      </c>
      <c r="D70" s="21">
        <v>202</v>
      </c>
      <c r="G70" t="s">
        <v>457</v>
      </c>
    </row>
    <row r="71" spans="1:7" x14ac:dyDescent="0.25">
      <c r="A71" s="4" t="s">
        <v>78</v>
      </c>
      <c r="B71" s="4"/>
      <c r="C71" s="4"/>
      <c r="D71" s="4"/>
    </row>
    <row r="72" spans="1:7" x14ac:dyDescent="0.25">
      <c r="A72" s="18" t="s">
        <v>79</v>
      </c>
      <c r="B72" s="19">
        <v>131</v>
      </c>
      <c r="C72" s="19">
        <v>182</v>
      </c>
      <c r="D72" s="19">
        <v>175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   </c>
      <c r="B73" s="39"/>
      <c r="C73" s="39"/>
      <c r="D73" s="39"/>
      <c r="G73" t="s">
        <v>475</v>
      </c>
    </row>
    <row r="74" spans="1:7" x14ac:dyDescent="0.25">
      <c r="A74" s="44" t="s">
        <v>126</v>
      </c>
      <c r="B74" s="45">
        <v>72201</v>
      </c>
      <c r="C74" s="45">
        <v>78007</v>
      </c>
      <c r="D74" s="45">
        <v>75096</v>
      </c>
      <c r="G74" t="s">
        <v>460</v>
      </c>
    </row>
    <row r="75" spans="1:7" x14ac:dyDescent="0.25">
      <c r="A75" s="39" t="s">
        <v>82</v>
      </c>
      <c r="B75" s="43"/>
      <c r="C75" s="43"/>
      <c r="D75" s="43"/>
    </row>
    <row r="76" spans="1:7" ht="30" x14ac:dyDescent="0.25">
      <c r="A76" s="31" t="s">
        <v>152</v>
      </c>
      <c r="G76" t="s">
        <v>287</v>
      </c>
    </row>
    <row r="77" spans="1:7" ht="30" x14ac:dyDescent="0.25">
      <c r="A77" s="31" t="s">
        <v>498</v>
      </c>
      <c r="G77" t="s">
        <v>476</v>
      </c>
    </row>
    <row r="78" spans="1:7" ht="45" x14ac:dyDescent="0.25">
      <c r="A78" s="31" t="s">
        <v>154</v>
      </c>
      <c r="G78" t="s">
        <v>477</v>
      </c>
    </row>
    <row r="79" spans="1:7" ht="30" x14ac:dyDescent="0.25">
      <c r="A79" s="31" t="s">
        <v>155</v>
      </c>
      <c r="G79" t="s">
        <v>478</v>
      </c>
    </row>
    <row r="80" spans="1:7" ht="45" x14ac:dyDescent="0.25">
      <c r="A80" s="31" t="s">
        <v>244</v>
      </c>
      <c r="G80" t="s">
        <v>479</v>
      </c>
    </row>
    <row r="81" spans="1:7" ht="30" x14ac:dyDescent="0.25">
      <c r="A81" s="31" t="s">
        <v>157</v>
      </c>
      <c r="G81" t="s">
        <v>480</v>
      </c>
    </row>
    <row r="82" spans="1:7" ht="45" x14ac:dyDescent="0.25">
      <c r="A82" s="31" t="s">
        <v>159</v>
      </c>
      <c r="G82" t="s">
        <v>481</v>
      </c>
    </row>
    <row r="83" spans="1:7" ht="45" x14ac:dyDescent="0.25">
      <c r="A83" s="31" t="s">
        <v>504</v>
      </c>
      <c r="G83" t="s">
        <v>287</v>
      </c>
    </row>
    <row r="84" spans="1:7" ht="30" x14ac:dyDescent="0.25">
      <c r="A84" s="31" t="s">
        <v>161</v>
      </c>
      <c r="G84" t="s">
        <v>330</v>
      </c>
    </row>
    <row r="85" spans="1:7" ht="30" x14ac:dyDescent="0.25">
      <c r="A85" s="31" t="s">
        <v>162</v>
      </c>
      <c r="G85" t="s">
        <v>331</v>
      </c>
    </row>
    <row r="86" spans="1:7" ht="45" x14ac:dyDescent="0.25">
      <c r="A86" s="31" t="s">
        <v>519</v>
      </c>
      <c r="G86" t="s">
        <v>287</v>
      </c>
    </row>
    <row r="87" spans="1:7" ht="45" x14ac:dyDescent="0.25">
      <c r="A87" s="31" t="s">
        <v>432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EC5E-D6C2-4442-82F0-655008C2DD90}">
  <dimension ref="A1:H87"/>
  <sheetViews>
    <sheetView workbookViewId="0">
      <selection activeCell="A22" sqref="A22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4.8600000000000003</v>
      </c>
      <c r="C2" s="20">
        <v>4.9400000000000004</v>
      </c>
      <c r="D2" s="20">
        <v>4.88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4.22</v>
      </c>
      <c r="C4" s="20">
        <v>4.3600000000000003</v>
      </c>
      <c r="D4" s="20">
        <v>4.26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</v>
      </c>
      <c r="C6" s="20">
        <v>3.86</v>
      </c>
      <c r="D6" s="20">
        <v>3.72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79.91</v>
      </c>
      <c r="C8" s="20">
        <v>80.819999999999993</v>
      </c>
      <c r="D8" s="20">
        <v>80.58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109.2</v>
      </c>
      <c r="C10" s="20">
        <v>110.5</v>
      </c>
      <c r="D10" s="20">
        <v>110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6801</v>
      </c>
      <c r="C12" s="21">
        <v>7199</v>
      </c>
      <c r="D12" s="21">
        <v>7109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22863</v>
      </c>
      <c r="C14" s="24">
        <v>24921</v>
      </c>
      <c r="D14" s="24">
        <v>24404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2625</v>
      </c>
      <c r="C16" s="21">
        <v>2817</v>
      </c>
      <c r="D16" s="21">
        <v>2793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143</v>
      </c>
      <c r="C18" s="20">
        <v>159</v>
      </c>
      <c r="D18" s="20">
        <v>155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156</v>
      </c>
      <c r="C20" s="20">
        <v>175</v>
      </c>
      <c r="D20" s="20">
        <v>161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20" t="s">
        <v>210</v>
      </c>
      <c r="B22" s="21">
        <v>45.16</v>
      </c>
      <c r="C22" s="21">
        <v>47.35</v>
      </c>
      <c r="D22" s="21">
        <v>45.75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495</v>
      </c>
      <c r="B24" s="24">
        <v>209</v>
      </c>
      <c r="C24" s="24">
        <v>225</v>
      </c>
      <c r="D24" s="24">
        <v>222.51</v>
      </c>
    </row>
    <row r="25" spans="1:8" ht="15.75" thickTop="1" x14ac:dyDescent="0.25">
      <c r="A25" s="4" t="s">
        <v>496</v>
      </c>
      <c r="B25" s="4"/>
      <c r="C25" s="4"/>
      <c r="D25" s="4"/>
      <c r="G25" t="s">
        <v>445</v>
      </c>
    </row>
    <row r="26" spans="1:8" x14ac:dyDescent="0.25">
      <c r="A26" s="20" t="s">
        <v>117</v>
      </c>
      <c r="B26" s="21">
        <v>3938</v>
      </c>
      <c r="C26" s="21">
        <v>4102</v>
      </c>
      <c r="D26" s="21">
        <v>4085</v>
      </c>
      <c r="G26" t="s">
        <v>446</v>
      </c>
    </row>
    <row r="27" spans="1:8" x14ac:dyDescent="0.25">
      <c r="A27" s="4" t="s">
        <v>171</v>
      </c>
      <c r="B27" s="4"/>
      <c r="C27" s="4"/>
      <c r="D27" s="4"/>
    </row>
    <row r="28" spans="1:8" x14ac:dyDescent="0.25">
      <c r="A28" s="20" t="s">
        <v>87</v>
      </c>
      <c r="B28" s="21">
        <v>55716</v>
      </c>
      <c r="C28" s="21">
        <v>59994</v>
      </c>
      <c r="D28" s="21">
        <v>59349</v>
      </c>
      <c r="G28" t="s">
        <v>447</v>
      </c>
    </row>
    <row r="29" spans="1:8" x14ac:dyDescent="0.25">
      <c r="A29" s="4" t="s">
        <v>36</v>
      </c>
      <c r="B29" s="4"/>
      <c r="C29" s="4"/>
      <c r="D29" s="4"/>
      <c r="G29" t="s">
        <v>448</v>
      </c>
    </row>
    <row r="30" spans="1:8" x14ac:dyDescent="0.25">
      <c r="A30" s="20" t="s">
        <v>113</v>
      </c>
      <c r="B30" s="21">
        <v>23717</v>
      </c>
      <c r="C30" s="21">
        <v>24700</v>
      </c>
      <c r="D30" s="21">
        <v>24569</v>
      </c>
      <c r="H30">
        <v>14.6</v>
      </c>
    </row>
    <row r="31" spans="1:8" ht="15.75" thickBot="1" x14ac:dyDescent="0.3">
      <c r="A31" s="4" t="s">
        <v>38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94</v>
      </c>
      <c r="B32" s="25">
        <v>16.34</v>
      </c>
      <c r="C32" s="25">
        <v>21.78</v>
      </c>
      <c r="D32" s="25">
        <v>19.07</v>
      </c>
      <c r="E32" t="s">
        <v>213</v>
      </c>
      <c r="G32" t="s">
        <v>450</v>
      </c>
    </row>
    <row r="33" spans="1:7" ht="16.5" thickTop="1" thickBot="1" x14ac:dyDescent="0.3">
      <c r="A33" s="4" t="s">
        <v>40</v>
      </c>
      <c r="B33" s="4"/>
      <c r="C33" s="4"/>
      <c r="D33" s="4"/>
    </row>
    <row r="34" spans="1:7" ht="16.5" thickTop="1" thickBot="1" x14ac:dyDescent="0.3">
      <c r="A34" s="25" t="s">
        <v>107</v>
      </c>
      <c r="B34" s="25">
        <v>97.58</v>
      </c>
      <c r="C34" s="25">
        <v>98.86</v>
      </c>
      <c r="D34" s="25">
        <v>98.09</v>
      </c>
      <c r="G34" t="s">
        <v>451</v>
      </c>
    </row>
    <row r="35" spans="1:7" ht="15.75" thickTop="1" x14ac:dyDescent="0.25">
      <c r="A35" s="4" t="s">
        <v>42</v>
      </c>
      <c r="B35" s="4"/>
      <c r="C35" s="4"/>
      <c r="D35" s="4"/>
      <c r="G35" t="s">
        <v>452</v>
      </c>
    </row>
    <row r="36" spans="1:7" x14ac:dyDescent="0.25">
      <c r="A36" s="20" t="s">
        <v>103</v>
      </c>
      <c r="B36" s="20">
        <v>1.167</v>
      </c>
      <c r="C36" s="20">
        <v>1.1850000000000001</v>
      </c>
      <c r="D36" s="20">
        <v>1.1759999999999999</v>
      </c>
    </row>
    <row r="37" spans="1:7" x14ac:dyDescent="0.25">
      <c r="A37" s="4" t="s">
        <v>44</v>
      </c>
      <c r="B37" s="4"/>
      <c r="C37" s="4"/>
      <c r="D37" s="4"/>
      <c r="G37" t="s">
        <v>453</v>
      </c>
    </row>
    <row r="38" spans="1:7" x14ac:dyDescent="0.25">
      <c r="A38" s="20" t="s">
        <v>45</v>
      </c>
      <c r="B38" s="20">
        <v>158.18</v>
      </c>
      <c r="C38" s="20">
        <v>159.63</v>
      </c>
      <c r="D38" s="20">
        <v>159.18</v>
      </c>
      <c r="G38" t="s">
        <v>454</v>
      </c>
    </row>
    <row r="39" spans="1:7" x14ac:dyDescent="0.25">
      <c r="A39" s="4" t="s">
        <v>46</v>
      </c>
      <c r="B39" s="4"/>
      <c r="C39" s="4"/>
      <c r="D39" s="4"/>
    </row>
    <row r="40" spans="1:7" x14ac:dyDescent="0.25">
      <c r="A40" s="20" t="s">
        <v>109</v>
      </c>
      <c r="B40" s="20">
        <v>1.341</v>
      </c>
      <c r="C40" s="20">
        <v>1.3620000000000001</v>
      </c>
      <c r="D40" s="20">
        <v>1.35</v>
      </c>
      <c r="G40" t="s">
        <v>455</v>
      </c>
    </row>
    <row r="41" spans="1:7" x14ac:dyDescent="0.25">
      <c r="A41" s="4" t="s">
        <v>48</v>
      </c>
      <c r="B41" s="4"/>
      <c r="C41" s="4"/>
      <c r="D41" s="4"/>
      <c r="G41" t="s">
        <v>456</v>
      </c>
    </row>
    <row r="42" spans="1:7" x14ac:dyDescent="0.25">
      <c r="A42" s="20" t="s">
        <v>110</v>
      </c>
      <c r="B42" s="20">
        <v>0.72299999999999998</v>
      </c>
      <c r="C42" s="20">
        <v>0.73599999999999999</v>
      </c>
      <c r="D42" s="20">
        <v>0.73199999999999998</v>
      </c>
      <c r="E42" s="40" t="s">
        <v>212</v>
      </c>
      <c r="G42" t="s">
        <v>457</v>
      </c>
    </row>
    <row r="43" spans="1:7" x14ac:dyDescent="0.25">
      <c r="A43" s="4" t="s">
        <v>50</v>
      </c>
      <c r="B43" s="4"/>
      <c r="C43" s="4"/>
      <c r="D43" s="4"/>
    </row>
    <row r="44" spans="1:7" x14ac:dyDescent="0.25">
      <c r="A44" s="20" t="s">
        <v>124</v>
      </c>
      <c r="B44" s="20">
        <v>84.06</v>
      </c>
      <c r="C44" s="20">
        <v>103.11</v>
      </c>
      <c r="D44" s="20">
        <v>86.9</v>
      </c>
      <c r="G44" t="s">
        <v>458</v>
      </c>
    </row>
    <row r="45" spans="1:7" x14ac:dyDescent="0.25">
      <c r="A45" s="4" t="s">
        <v>52</v>
      </c>
      <c r="B45" s="4"/>
      <c r="C45" s="4"/>
      <c r="D45" s="4"/>
      <c r="G45" t="s">
        <v>459</v>
      </c>
    </row>
    <row r="46" spans="1:7" x14ac:dyDescent="0.25">
      <c r="A46" s="20" t="s">
        <v>125</v>
      </c>
      <c r="B46" s="21">
        <v>88</v>
      </c>
      <c r="C46" s="21">
        <v>104</v>
      </c>
      <c r="D46" s="21">
        <v>95</v>
      </c>
      <c r="G46" t="s">
        <v>460</v>
      </c>
    </row>
    <row r="47" spans="1:7" x14ac:dyDescent="0.25">
      <c r="A47" s="4" t="s">
        <v>54</v>
      </c>
      <c r="B47" s="4"/>
      <c r="C47" s="4"/>
      <c r="D47" s="4"/>
    </row>
    <row r="48" spans="1:7" ht="45" x14ac:dyDescent="0.25">
      <c r="A48" s="18" t="s">
        <v>116</v>
      </c>
      <c r="B48" s="19">
        <v>2.5</v>
      </c>
      <c r="C48" s="19">
        <v>2.81</v>
      </c>
      <c r="D48" s="19">
        <v>2.66</v>
      </c>
      <c r="E48" s="40" t="s">
        <v>252</v>
      </c>
      <c r="G48" t="s">
        <v>461</v>
      </c>
    </row>
    <row r="49" spans="1:7" x14ac:dyDescent="0.25">
      <c r="A49" s="4" t="s">
        <v>56</v>
      </c>
      <c r="B49" s="4"/>
      <c r="C49" s="4"/>
      <c r="D49" s="4"/>
      <c r="G49" t="s">
        <v>462</v>
      </c>
    </row>
    <row r="50" spans="1:7" x14ac:dyDescent="0.25">
      <c r="A50" s="20" t="s">
        <v>57</v>
      </c>
      <c r="B50" s="21">
        <v>4712</v>
      </c>
      <c r="C50" s="21">
        <v>4877</v>
      </c>
      <c r="D50" s="21">
        <v>4806</v>
      </c>
      <c r="G50" t="s">
        <v>460</v>
      </c>
    </row>
    <row r="51" spans="1:7" ht="15.75" thickBot="1" x14ac:dyDescent="0.3">
      <c r="A51" s="4" t="s">
        <v>58</v>
      </c>
      <c r="B51" s="4"/>
      <c r="C51" s="4"/>
      <c r="D51" s="4"/>
    </row>
    <row r="52" spans="1:7" ht="16.5" thickTop="1" thickBot="1" x14ac:dyDescent="0.3">
      <c r="A52" s="23" t="s">
        <v>59</v>
      </c>
      <c r="B52" s="23">
        <v>5.71</v>
      </c>
      <c r="C52" s="23">
        <v>6.25</v>
      </c>
      <c r="D52" s="23">
        <v>6.03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185</v>
      </c>
      <c r="B53" s="4"/>
      <c r="C53" s="4"/>
      <c r="D53" s="4"/>
      <c r="G53" t="s">
        <v>464</v>
      </c>
    </row>
    <row r="54" spans="1:7" x14ac:dyDescent="0.25">
      <c r="A54" s="20" t="s">
        <v>61</v>
      </c>
      <c r="B54" s="20">
        <v>74</v>
      </c>
      <c r="C54" s="20">
        <v>83</v>
      </c>
      <c r="D54" s="20">
        <v>79</v>
      </c>
      <c r="G54" t="s">
        <v>460</v>
      </c>
    </row>
    <row r="55" spans="1:7" x14ac:dyDescent="0.25">
      <c r="A55" s="4" t="s">
        <v>62</v>
      </c>
      <c r="B55" s="4"/>
      <c r="C55" s="4"/>
      <c r="D55" s="4"/>
    </row>
    <row r="56" spans="1:7" x14ac:dyDescent="0.25">
      <c r="A56" s="18" t="s">
        <v>63</v>
      </c>
      <c r="B56" s="18">
        <v>356</v>
      </c>
      <c r="C56" s="18">
        <v>437</v>
      </c>
      <c r="D56" s="18">
        <v>418</v>
      </c>
      <c r="G56" t="s">
        <v>465</v>
      </c>
    </row>
    <row r="57" spans="1:7" x14ac:dyDescent="0.25">
      <c r="A57" s="4" t="s">
        <v>64</v>
      </c>
      <c r="B57" s="4"/>
      <c r="C57" s="4"/>
      <c r="D57" s="4"/>
      <c r="G57" t="s">
        <v>466</v>
      </c>
    </row>
    <row r="58" spans="1:7" x14ac:dyDescent="0.25">
      <c r="A58" s="20" t="s">
        <v>65</v>
      </c>
      <c r="B58" s="20">
        <v>261</v>
      </c>
      <c r="C58" s="20">
        <v>275</v>
      </c>
      <c r="D58" s="20">
        <v>273</v>
      </c>
      <c r="G58" t="s">
        <v>457</v>
      </c>
    </row>
    <row r="59" spans="1:7" x14ac:dyDescent="0.25">
      <c r="A59" s="4" t="s">
        <v>66</v>
      </c>
      <c r="B59" s="4"/>
      <c r="C59" s="4"/>
      <c r="D59" s="4"/>
    </row>
    <row r="60" spans="1:7" x14ac:dyDescent="0.25">
      <c r="A60" s="20" t="s">
        <v>99</v>
      </c>
      <c r="B60" s="20">
        <v>227</v>
      </c>
      <c r="C60" s="20">
        <v>262</v>
      </c>
      <c r="D60" s="20">
        <v>248</v>
      </c>
      <c r="G60" t="s">
        <v>467</v>
      </c>
    </row>
    <row r="61" spans="1:7" x14ac:dyDescent="0.25">
      <c r="A61" t="s">
        <v>68</v>
      </c>
      <c r="G61" t="s">
        <v>468</v>
      </c>
    </row>
    <row r="62" spans="1:7" x14ac:dyDescent="0.25">
      <c r="A62" s="20" t="s">
        <v>136</v>
      </c>
      <c r="B62" s="20">
        <v>627</v>
      </c>
      <c r="C62" s="20">
        <v>705</v>
      </c>
      <c r="D62" s="20">
        <v>671</v>
      </c>
      <c r="E62" s="40" t="s">
        <v>198</v>
      </c>
      <c r="G62" t="s">
        <v>457</v>
      </c>
    </row>
    <row r="63" spans="1:7" x14ac:dyDescent="0.25">
      <c r="A63" s="4" t="s">
        <v>70</v>
      </c>
      <c r="B63" s="4"/>
      <c r="C63" s="4"/>
      <c r="D63" s="4"/>
    </row>
    <row r="64" spans="1:7" x14ac:dyDescent="0.25">
      <c r="A64" s="20" t="s">
        <v>71</v>
      </c>
      <c r="B64" s="20">
        <v>315</v>
      </c>
      <c r="C64" s="20">
        <v>349</v>
      </c>
      <c r="D64" s="20">
        <v>337</v>
      </c>
      <c r="G64" t="s">
        <v>469</v>
      </c>
    </row>
    <row r="65" spans="1:7" ht="15.75" thickBot="1" x14ac:dyDescent="0.3">
      <c r="A65" s="4" t="s">
        <v>72</v>
      </c>
      <c r="B65" s="4"/>
      <c r="C65" s="4"/>
      <c r="D65" s="4"/>
      <c r="G65" t="s">
        <v>470</v>
      </c>
    </row>
    <row r="66" spans="1:7" ht="16.5" thickTop="1" thickBot="1" x14ac:dyDescent="0.3">
      <c r="A66" s="25" t="s">
        <v>73</v>
      </c>
      <c r="B66" s="25">
        <v>90</v>
      </c>
      <c r="C66" s="25">
        <v>101</v>
      </c>
      <c r="D66" s="25">
        <v>95</v>
      </c>
      <c r="G66" t="s">
        <v>471</v>
      </c>
    </row>
    <row r="67" spans="1:7" ht="15.75" thickTop="1" x14ac:dyDescent="0.25">
      <c r="A67" s="4" t="s">
        <v>74</v>
      </c>
      <c r="B67" s="4"/>
      <c r="C67" s="4"/>
      <c r="D67" s="4"/>
    </row>
    <row r="68" spans="1:7" x14ac:dyDescent="0.25">
      <c r="A68" s="18" t="s">
        <v>75</v>
      </c>
      <c r="B68" s="18">
        <v>343</v>
      </c>
      <c r="C68" s="18">
        <v>401</v>
      </c>
      <c r="D68" s="18">
        <v>393</v>
      </c>
      <c r="G68" t="s">
        <v>472</v>
      </c>
    </row>
    <row r="69" spans="1:7" x14ac:dyDescent="0.25">
      <c r="A69" s="4" t="s">
        <v>76</v>
      </c>
      <c r="B69" s="4"/>
      <c r="C69" s="4"/>
      <c r="D69" s="4"/>
      <c r="G69" t="s">
        <v>473</v>
      </c>
    </row>
    <row r="70" spans="1:7" x14ac:dyDescent="0.25">
      <c r="A70" s="20" t="s">
        <v>101</v>
      </c>
      <c r="B70" s="21">
        <v>189</v>
      </c>
      <c r="C70" s="21">
        <v>207</v>
      </c>
      <c r="D70" s="21">
        <v>202</v>
      </c>
      <c r="G70" t="s">
        <v>457</v>
      </c>
    </row>
    <row r="71" spans="1:7" x14ac:dyDescent="0.25">
      <c r="A71" s="4" t="s">
        <v>78</v>
      </c>
      <c r="B71" s="4"/>
      <c r="C71" s="4"/>
      <c r="D71" s="4"/>
    </row>
    <row r="72" spans="1:7" x14ac:dyDescent="0.25">
      <c r="A72" s="18" t="s">
        <v>79</v>
      </c>
      <c r="B72" s="19">
        <v>133</v>
      </c>
      <c r="C72" s="19">
        <v>185</v>
      </c>
      <c r="D72" s="19">
        <v>178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   </c>
      <c r="B73" s="39"/>
      <c r="C73" s="39"/>
      <c r="D73" s="39"/>
      <c r="G73" t="s">
        <v>475</v>
      </c>
    </row>
    <row r="74" spans="1:7" x14ac:dyDescent="0.25">
      <c r="A74" s="44" t="s">
        <v>126</v>
      </c>
      <c r="B74" s="45">
        <v>73178</v>
      </c>
      <c r="C74" s="45">
        <v>77381</v>
      </c>
      <c r="D74" s="45">
        <v>76372</v>
      </c>
      <c r="G74" t="s">
        <v>460</v>
      </c>
    </row>
    <row r="75" spans="1:7" x14ac:dyDescent="0.25">
      <c r="A75" s="39" t="s">
        <v>82</v>
      </c>
      <c r="B75" s="43"/>
      <c r="C75" s="43"/>
      <c r="D75" s="43"/>
    </row>
    <row r="76" spans="1:7" ht="30" x14ac:dyDescent="0.25">
      <c r="A76" s="31" t="s">
        <v>152</v>
      </c>
      <c r="G76" t="s">
        <v>287</v>
      </c>
    </row>
    <row r="77" spans="1:7" ht="30" x14ac:dyDescent="0.25">
      <c r="A77" s="31" t="s">
        <v>498</v>
      </c>
      <c r="G77" t="s">
        <v>476</v>
      </c>
    </row>
    <row r="78" spans="1:7" ht="45" x14ac:dyDescent="0.25">
      <c r="A78" s="31" t="s">
        <v>154</v>
      </c>
      <c r="G78" t="s">
        <v>477</v>
      </c>
    </row>
    <row r="79" spans="1:7" ht="30" x14ac:dyDescent="0.25">
      <c r="A79" s="31" t="s">
        <v>155</v>
      </c>
      <c r="G79" t="s">
        <v>478</v>
      </c>
    </row>
    <row r="80" spans="1:7" ht="45" x14ac:dyDescent="0.25">
      <c r="A80" s="31" t="s">
        <v>244</v>
      </c>
      <c r="G80" t="s">
        <v>479</v>
      </c>
    </row>
    <row r="81" spans="1:7" ht="30" x14ac:dyDescent="0.25">
      <c r="A81" s="31" t="s">
        <v>157</v>
      </c>
      <c r="G81" t="s">
        <v>480</v>
      </c>
    </row>
    <row r="82" spans="1:7" ht="45" x14ac:dyDescent="0.25">
      <c r="A82" s="31" t="s">
        <v>159</v>
      </c>
      <c r="G82" t="s">
        <v>481</v>
      </c>
    </row>
    <row r="83" spans="1:7" ht="45" x14ac:dyDescent="0.25">
      <c r="A83" s="31" t="s">
        <v>504</v>
      </c>
      <c r="G83" t="s">
        <v>287</v>
      </c>
    </row>
    <row r="84" spans="1:7" ht="30" x14ac:dyDescent="0.25">
      <c r="A84" s="31" t="s">
        <v>161</v>
      </c>
      <c r="G84" t="s">
        <v>330</v>
      </c>
    </row>
    <row r="85" spans="1:7" ht="30" x14ac:dyDescent="0.25">
      <c r="A85" s="31" t="s">
        <v>162</v>
      </c>
      <c r="G85" t="s">
        <v>331</v>
      </c>
    </row>
    <row r="86" spans="1:7" ht="45" x14ac:dyDescent="0.25">
      <c r="A86" s="31" t="s">
        <v>519</v>
      </c>
      <c r="G86" t="s">
        <v>287</v>
      </c>
    </row>
    <row r="87" spans="1:7" ht="45" x14ac:dyDescent="0.25">
      <c r="A87" s="31" t="s">
        <v>432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1593-C26C-407B-9CE7-B11F26B0F494}">
  <dimension ref="A1:H87"/>
  <sheetViews>
    <sheetView tabSelected="1" topLeftCell="A44" workbookViewId="0">
      <selection activeCell="B69" sqref="B69"/>
    </sheetView>
  </sheetViews>
  <sheetFormatPr defaultRowHeight="15" x14ac:dyDescent="0.25"/>
  <cols>
    <col min="1" max="1" width="33.7109375" bestFit="1" customWidth="1"/>
    <col min="2" max="2" width="14.85546875" bestFit="1" customWidth="1"/>
    <col min="3" max="3" width="15.140625" bestFit="1" customWidth="1"/>
    <col min="4" max="4" width="16.5703125" bestFit="1" customWidth="1"/>
    <col min="5" max="5" width="42.140625" style="40" customWidth="1"/>
    <col min="7" max="7" width="102.140625" bestFit="1" customWidth="1"/>
  </cols>
  <sheetData>
    <row r="1" spans="1:8" ht="21" x14ac:dyDescent="0.35">
      <c r="A1" s="17" t="s">
        <v>9</v>
      </c>
      <c r="B1" s="17" t="s">
        <v>10</v>
      </c>
      <c r="C1" s="17" t="s">
        <v>11</v>
      </c>
      <c r="D1" s="17" t="s">
        <v>12</v>
      </c>
      <c r="H1" t="s">
        <v>246</v>
      </c>
    </row>
    <row r="2" spans="1:8" x14ac:dyDescent="0.25">
      <c r="A2" s="20" t="s">
        <v>108</v>
      </c>
      <c r="B2" s="20">
        <v>4.87</v>
      </c>
      <c r="C2" s="20">
        <v>4.95</v>
      </c>
      <c r="D2" s="20">
        <v>4.8899999999999997</v>
      </c>
    </row>
    <row r="3" spans="1:8" x14ac:dyDescent="0.25">
      <c r="A3" s="4" t="s">
        <v>14</v>
      </c>
      <c r="B3" s="4"/>
      <c r="C3" s="4"/>
      <c r="D3" s="4"/>
    </row>
    <row r="4" spans="1:8" x14ac:dyDescent="0.25">
      <c r="A4" s="20" t="s">
        <v>127</v>
      </c>
      <c r="B4" s="20">
        <v>4.2300000000000004</v>
      </c>
      <c r="C4" s="20">
        <v>4.3499999999999996</v>
      </c>
      <c r="D4" s="20">
        <v>4.3</v>
      </c>
      <c r="E4" s="40" t="s">
        <v>482</v>
      </c>
      <c r="G4" t="s">
        <v>287</v>
      </c>
    </row>
    <row r="5" spans="1:8" x14ac:dyDescent="0.25">
      <c r="A5" s="4" t="s">
        <v>16</v>
      </c>
      <c r="B5" s="4"/>
      <c r="C5" s="4"/>
      <c r="D5" s="4"/>
      <c r="G5" t="s">
        <v>253</v>
      </c>
    </row>
    <row r="6" spans="1:8" x14ac:dyDescent="0.25">
      <c r="A6" s="20" t="s">
        <v>224</v>
      </c>
      <c r="B6" s="20">
        <v>3.71</v>
      </c>
      <c r="C6" s="20">
        <v>3.85</v>
      </c>
      <c r="D6" s="20">
        <v>3.78</v>
      </c>
      <c r="G6" t="s">
        <v>332</v>
      </c>
    </row>
    <row r="7" spans="1:8" x14ac:dyDescent="0.25">
      <c r="A7" s="4" t="s">
        <v>18</v>
      </c>
      <c r="B7" s="4"/>
      <c r="C7" s="4"/>
      <c r="D7" s="4"/>
      <c r="G7" t="s">
        <v>433</v>
      </c>
    </row>
    <row r="8" spans="1:8" x14ac:dyDescent="0.25">
      <c r="A8" s="20" t="s">
        <v>83</v>
      </c>
      <c r="B8" s="20">
        <v>79.930000000000007</v>
      </c>
      <c r="C8" s="20">
        <v>80.81</v>
      </c>
      <c r="D8" s="20">
        <v>80.37</v>
      </c>
      <c r="G8" t="s">
        <v>434</v>
      </c>
    </row>
    <row r="9" spans="1:8" x14ac:dyDescent="0.25">
      <c r="A9" s="4" t="s">
        <v>20</v>
      </c>
      <c r="B9" s="4"/>
      <c r="C9" s="4"/>
      <c r="D9" s="4"/>
      <c r="G9" t="s">
        <v>435</v>
      </c>
    </row>
    <row r="10" spans="1:8" x14ac:dyDescent="0.25">
      <c r="A10" s="20" t="s">
        <v>21</v>
      </c>
      <c r="B10" s="20">
        <v>109.2</v>
      </c>
      <c r="C10" s="20">
        <v>110.5</v>
      </c>
      <c r="D10" s="20">
        <v>109.6</v>
      </c>
      <c r="G10" t="s">
        <v>287</v>
      </c>
    </row>
    <row r="11" spans="1:8" x14ac:dyDescent="0.25">
      <c r="A11" s="4" t="s">
        <v>22</v>
      </c>
      <c r="B11" s="4"/>
      <c r="C11" s="4"/>
      <c r="D11" s="4"/>
      <c r="G11" t="s">
        <v>258</v>
      </c>
    </row>
    <row r="12" spans="1:8" x14ac:dyDescent="0.25">
      <c r="A12" s="20" t="s">
        <v>23</v>
      </c>
      <c r="B12" s="21">
        <v>6821</v>
      </c>
      <c r="C12" s="21">
        <v>7215</v>
      </c>
      <c r="D12" s="21">
        <v>7064</v>
      </c>
      <c r="E12" s="40" t="s">
        <v>240</v>
      </c>
      <c r="G12" t="s">
        <v>436</v>
      </c>
    </row>
    <row r="13" spans="1:8" ht="15.75" thickBot="1" x14ac:dyDescent="0.3">
      <c r="A13" t="s">
        <v>24</v>
      </c>
      <c r="B13" s="4"/>
      <c r="C13" s="4"/>
      <c r="D13" s="4"/>
      <c r="G13" t="s">
        <v>437</v>
      </c>
    </row>
    <row r="14" spans="1:8" ht="16.5" thickTop="1" thickBot="1" x14ac:dyDescent="0.3">
      <c r="A14" s="23" t="s">
        <v>85</v>
      </c>
      <c r="B14" s="24">
        <v>22963</v>
      </c>
      <c r="C14" s="24">
        <v>24972</v>
      </c>
      <c r="D14" s="24">
        <v>24260</v>
      </c>
      <c r="G14" t="s">
        <v>288</v>
      </c>
    </row>
    <row r="15" spans="1:8" ht="15.75" thickTop="1" x14ac:dyDescent="0.25">
      <c r="A15" s="4" t="s">
        <v>26</v>
      </c>
      <c r="B15" s="4"/>
      <c r="C15" s="4"/>
      <c r="D15" s="4"/>
      <c r="G15" t="s">
        <v>438</v>
      </c>
    </row>
    <row r="16" spans="1:8" x14ac:dyDescent="0.25">
      <c r="A16" s="20" t="s">
        <v>86</v>
      </c>
      <c r="B16" s="21">
        <v>2628</v>
      </c>
      <c r="C16" s="21">
        <v>2825</v>
      </c>
      <c r="D16" s="21">
        <v>2765</v>
      </c>
      <c r="G16" t="s">
        <v>439</v>
      </c>
    </row>
    <row r="17" spans="1:8" x14ac:dyDescent="0.25">
      <c r="A17" s="4" t="s">
        <v>28</v>
      </c>
      <c r="B17" s="4"/>
      <c r="C17" s="4"/>
      <c r="D17" s="4"/>
      <c r="G17" t="s">
        <v>440</v>
      </c>
    </row>
    <row r="18" spans="1:8" x14ac:dyDescent="0.25">
      <c r="A18" s="20" t="s">
        <v>92</v>
      </c>
      <c r="B18" s="20">
        <v>145</v>
      </c>
      <c r="C18" s="20">
        <v>160</v>
      </c>
      <c r="D18" s="20">
        <v>155</v>
      </c>
    </row>
    <row r="19" spans="1:8" x14ac:dyDescent="0.25">
      <c r="A19" s="4" t="s">
        <v>30</v>
      </c>
      <c r="B19" s="4"/>
      <c r="C19" s="4"/>
      <c r="D19" s="4"/>
      <c r="G19" t="s">
        <v>441</v>
      </c>
    </row>
    <row r="20" spans="1:8" x14ac:dyDescent="0.25">
      <c r="A20" s="20" t="s">
        <v>193</v>
      </c>
      <c r="B20" s="20">
        <v>157</v>
      </c>
      <c r="C20" s="20">
        <v>173</v>
      </c>
      <c r="D20" s="20">
        <v>165</v>
      </c>
      <c r="G20" t="s">
        <v>442</v>
      </c>
    </row>
    <row r="21" spans="1:8" x14ac:dyDescent="0.25">
      <c r="A21" s="4" t="s">
        <v>194</v>
      </c>
      <c r="B21" s="4"/>
      <c r="C21" s="4"/>
      <c r="D21" s="4"/>
    </row>
    <row r="22" spans="1:8" x14ac:dyDescent="0.25">
      <c r="A22" s="18" t="s">
        <v>521</v>
      </c>
      <c r="B22" s="19">
        <v>44.34</v>
      </c>
      <c r="C22" s="19">
        <v>46.34</v>
      </c>
      <c r="D22" s="19">
        <v>44.95</v>
      </c>
      <c r="G22" t="s">
        <v>443</v>
      </c>
    </row>
    <row r="23" spans="1:8" ht="15.75" thickBot="1" x14ac:dyDescent="0.3">
      <c r="A23" s="4" t="s">
        <v>211</v>
      </c>
      <c r="B23" s="4"/>
      <c r="C23" s="4"/>
      <c r="D23" s="4"/>
      <c r="G23" t="s">
        <v>444</v>
      </c>
    </row>
    <row r="24" spans="1:8" ht="16.5" thickTop="1" thickBot="1" x14ac:dyDescent="0.3">
      <c r="A24" s="23" t="s">
        <v>495</v>
      </c>
      <c r="B24" s="24">
        <v>211</v>
      </c>
      <c r="C24" s="24">
        <v>227</v>
      </c>
      <c r="D24" s="24">
        <v>220.51</v>
      </c>
    </row>
    <row r="25" spans="1:8" ht="15.75" thickTop="1" x14ac:dyDescent="0.25">
      <c r="A25" s="4" t="s">
        <v>496</v>
      </c>
      <c r="B25" s="4"/>
      <c r="C25" s="4"/>
      <c r="D25" s="4"/>
      <c r="G25" t="s">
        <v>445</v>
      </c>
    </row>
    <row r="26" spans="1:8" x14ac:dyDescent="0.25">
      <c r="A26" s="20" t="s">
        <v>117</v>
      </c>
      <c r="B26" s="21">
        <v>4000</v>
      </c>
      <c r="C26" s="21">
        <v>4130</v>
      </c>
      <c r="D26" s="21">
        <v>4106</v>
      </c>
      <c r="G26" t="s">
        <v>446</v>
      </c>
    </row>
    <row r="27" spans="1:8" x14ac:dyDescent="0.25">
      <c r="A27" s="4" t="s">
        <v>171</v>
      </c>
      <c r="B27" s="4"/>
      <c r="C27" s="4"/>
      <c r="D27" s="4"/>
    </row>
    <row r="28" spans="1:8" x14ac:dyDescent="0.25">
      <c r="A28" s="20" t="s">
        <v>87</v>
      </c>
      <c r="B28" s="21">
        <v>56002</v>
      </c>
      <c r="C28" s="21">
        <v>60346</v>
      </c>
      <c r="D28" s="21">
        <v>59586</v>
      </c>
      <c r="G28" t="s">
        <v>447</v>
      </c>
    </row>
    <row r="29" spans="1:8" x14ac:dyDescent="0.25">
      <c r="A29" s="4" t="s">
        <v>36</v>
      </c>
      <c r="B29" s="4"/>
      <c r="C29" s="4"/>
      <c r="D29" s="4"/>
      <c r="G29" t="s">
        <v>448</v>
      </c>
    </row>
    <row r="30" spans="1:8" x14ac:dyDescent="0.25">
      <c r="A30" s="20" t="s">
        <v>113</v>
      </c>
      <c r="B30" s="21">
        <v>23665</v>
      </c>
      <c r="C30" s="21">
        <v>24718</v>
      </c>
      <c r="D30" s="21">
        <v>24256</v>
      </c>
      <c r="H30">
        <v>14.6</v>
      </c>
    </row>
    <row r="31" spans="1:8" ht="15.75" thickBot="1" x14ac:dyDescent="0.3">
      <c r="A31" s="4" t="s">
        <v>38</v>
      </c>
      <c r="B31" s="4"/>
      <c r="C31" s="4"/>
      <c r="D31" s="4"/>
      <c r="G31" t="s">
        <v>449</v>
      </c>
    </row>
    <row r="32" spans="1:8" ht="16.5" thickTop="1" thickBot="1" x14ac:dyDescent="0.3">
      <c r="A32" s="25" t="s">
        <v>94</v>
      </c>
      <c r="B32" s="25">
        <v>17.12</v>
      </c>
      <c r="C32" s="25">
        <v>21.53</v>
      </c>
      <c r="D32" s="25">
        <v>19.03</v>
      </c>
      <c r="E32" t="s">
        <v>213</v>
      </c>
      <c r="G32" t="s">
        <v>450</v>
      </c>
    </row>
    <row r="33" spans="1:7" ht="16.5" thickTop="1" thickBot="1" x14ac:dyDescent="0.3">
      <c r="A33" s="4" t="s">
        <v>40</v>
      </c>
      <c r="B33" s="4"/>
      <c r="C33" s="4"/>
      <c r="D33" s="4"/>
    </row>
    <row r="34" spans="1:7" ht="16.5" thickTop="1" thickBot="1" x14ac:dyDescent="0.3">
      <c r="A34" s="25" t="s">
        <v>107</v>
      </c>
      <c r="B34" s="25">
        <v>97.69</v>
      </c>
      <c r="C34" s="25">
        <v>98.74</v>
      </c>
      <c r="D34" s="25">
        <v>98.13</v>
      </c>
      <c r="G34" t="s">
        <v>451</v>
      </c>
    </row>
    <row r="35" spans="1:7" ht="15.75" thickTop="1" x14ac:dyDescent="0.25">
      <c r="A35" s="4" t="s">
        <v>42</v>
      </c>
      <c r="B35" s="4"/>
      <c r="C35" s="4"/>
      <c r="D35" s="4"/>
      <c r="G35" t="s">
        <v>452</v>
      </c>
    </row>
    <row r="36" spans="1:7" x14ac:dyDescent="0.25">
      <c r="A36" s="20" t="s">
        <v>103</v>
      </c>
      <c r="B36" s="20">
        <v>1.167</v>
      </c>
      <c r="C36" s="20">
        <v>1.1850000000000001</v>
      </c>
      <c r="D36" s="20">
        <v>1.175</v>
      </c>
    </row>
    <row r="37" spans="1:7" x14ac:dyDescent="0.25">
      <c r="A37" s="4" t="s">
        <v>44</v>
      </c>
      <c r="B37" s="4"/>
      <c r="C37" s="4"/>
      <c r="D37" s="4"/>
      <c r="G37" t="s">
        <v>453</v>
      </c>
    </row>
    <row r="38" spans="1:7" x14ac:dyDescent="0.25">
      <c r="A38" s="20" t="s">
        <v>45</v>
      </c>
      <c r="B38" s="20">
        <v>158.65</v>
      </c>
      <c r="C38" s="20">
        <v>159.79</v>
      </c>
      <c r="D38" s="20">
        <v>159.33000000000001</v>
      </c>
      <c r="G38" t="s">
        <v>454</v>
      </c>
    </row>
    <row r="39" spans="1:7" x14ac:dyDescent="0.25">
      <c r="A39" s="4" t="s">
        <v>46</v>
      </c>
      <c r="B39" s="4"/>
      <c r="C39" s="4"/>
      <c r="D39" s="4"/>
    </row>
    <row r="40" spans="1:7" x14ac:dyDescent="0.25">
      <c r="A40" s="20" t="s">
        <v>109</v>
      </c>
      <c r="B40" s="20">
        <v>1.333</v>
      </c>
      <c r="C40" s="20">
        <v>1.361</v>
      </c>
      <c r="D40" s="20">
        <v>1.3520000000000001</v>
      </c>
      <c r="G40" t="s">
        <v>455</v>
      </c>
    </row>
    <row r="41" spans="1:7" x14ac:dyDescent="0.25">
      <c r="A41" s="4" t="s">
        <v>48</v>
      </c>
      <c r="B41" s="4"/>
      <c r="C41" s="4"/>
      <c r="D41" s="4"/>
      <c r="G41" t="s">
        <v>456</v>
      </c>
    </row>
    <row r="42" spans="1:7" x14ac:dyDescent="0.25">
      <c r="A42" s="20" t="s">
        <v>110</v>
      </c>
      <c r="B42" s="20">
        <v>0.72499999999999998</v>
      </c>
      <c r="C42" s="20">
        <v>0.73799999999999999</v>
      </c>
      <c r="D42" s="20">
        <v>0.73199999999999998</v>
      </c>
      <c r="E42" s="40" t="s">
        <v>212</v>
      </c>
      <c r="G42" t="s">
        <v>457</v>
      </c>
    </row>
    <row r="43" spans="1:7" x14ac:dyDescent="0.25">
      <c r="A43" s="4" t="s">
        <v>50</v>
      </c>
      <c r="B43" s="4"/>
      <c r="C43" s="4"/>
      <c r="D43" s="4"/>
    </row>
    <row r="44" spans="1:7" x14ac:dyDescent="0.25">
      <c r="A44" s="20" t="s">
        <v>124</v>
      </c>
      <c r="B44" s="20">
        <v>83.86</v>
      </c>
      <c r="C44" s="20">
        <v>102.56</v>
      </c>
      <c r="D44" s="20">
        <v>90.73</v>
      </c>
      <c r="G44" t="s">
        <v>458</v>
      </c>
    </row>
    <row r="45" spans="1:7" x14ac:dyDescent="0.25">
      <c r="A45" s="4" t="s">
        <v>52</v>
      </c>
      <c r="B45" s="4"/>
      <c r="C45" s="4"/>
      <c r="D45" s="4"/>
      <c r="G45" t="s">
        <v>459</v>
      </c>
    </row>
    <row r="46" spans="1:7" x14ac:dyDescent="0.25">
      <c r="A46" s="20" t="s">
        <v>125</v>
      </c>
      <c r="B46" s="21">
        <v>91</v>
      </c>
      <c r="C46" s="21">
        <v>103</v>
      </c>
      <c r="D46" s="21">
        <v>100</v>
      </c>
      <c r="G46" t="s">
        <v>460</v>
      </c>
    </row>
    <row r="47" spans="1:7" x14ac:dyDescent="0.25">
      <c r="A47" s="4" t="s">
        <v>54</v>
      </c>
      <c r="B47" s="4"/>
      <c r="C47" s="4"/>
      <c r="D47" s="4"/>
    </row>
    <row r="48" spans="1:7" ht="45" x14ac:dyDescent="0.25">
      <c r="A48" s="18" t="s">
        <v>116</v>
      </c>
      <c r="B48" s="19">
        <v>2.5499999999999998</v>
      </c>
      <c r="C48" s="19">
        <v>2.83</v>
      </c>
      <c r="D48" s="19">
        <v>2.74</v>
      </c>
      <c r="E48" s="40" t="s">
        <v>252</v>
      </c>
      <c r="G48" t="s">
        <v>461</v>
      </c>
    </row>
    <row r="49" spans="1:7" x14ac:dyDescent="0.25">
      <c r="A49" s="4" t="s">
        <v>56</v>
      </c>
      <c r="B49" s="4"/>
      <c r="C49" s="4"/>
      <c r="D49" s="4"/>
      <c r="G49" t="s">
        <v>462</v>
      </c>
    </row>
    <row r="50" spans="1:7" x14ac:dyDescent="0.25">
      <c r="A50" s="20" t="s">
        <v>57</v>
      </c>
      <c r="B50" s="21">
        <v>4701</v>
      </c>
      <c r="C50" s="21">
        <v>4873</v>
      </c>
      <c r="D50" s="21">
        <v>4778</v>
      </c>
      <c r="G50" t="s">
        <v>460</v>
      </c>
    </row>
    <row r="51" spans="1:7" ht="15.75" thickBot="1" x14ac:dyDescent="0.3">
      <c r="A51" s="4" t="s">
        <v>58</v>
      </c>
      <c r="B51" s="4"/>
      <c r="C51" s="4"/>
      <c r="D51" s="4"/>
    </row>
    <row r="52" spans="1:7" ht="16.5" thickTop="1" thickBot="1" x14ac:dyDescent="0.3">
      <c r="A52" s="23" t="s">
        <v>59</v>
      </c>
      <c r="B52" s="23">
        <v>5.83</v>
      </c>
      <c r="C52" s="23">
        <v>6.25</v>
      </c>
      <c r="D52" s="23">
        <v>6.07</v>
      </c>
      <c r="E52" t="s">
        <v>235</v>
      </c>
      <c r="F52" t="s">
        <v>250</v>
      </c>
      <c r="G52" t="s">
        <v>463</v>
      </c>
    </row>
    <row r="53" spans="1:7" ht="15.75" thickTop="1" x14ac:dyDescent="0.25">
      <c r="A53" s="4" t="s">
        <v>185</v>
      </c>
      <c r="B53" s="4"/>
      <c r="C53" s="4"/>
      <c r="D53" s="4"/>
      <c r="G53" t="s">
        <v>464</v>
      </c>
    </row>
    <row r="54" spans="1:7" x14ac:dyDescent="0.25">
      <c r="A54" s="20" t="s">
        <v>61</v>
      </c>
      <c r="B54" s="20">
        <v>75</v>
      </c>
      <c r="C54" s="20">
        <v>83</v>
      </c>
      <c r="D54" s="20">
        <v>78</v>
      </c>
      <c r="G54" t="s">
        <v>460</v>
      </c>
    </row>
    <row r="55" spans="1:7" x14ac:dyDescent="0.25">
      <c r="A55" s="4" t="s">
        <v>62</v>
      </c>
      <c r="B55" s="4"/>
      <c r="C55" s="4"/>
      <c r="D55" s="4"/>
    </row>
    <row r="56" spans="1:7" x14ac:dyDescent="0.25">
      <c r="A56" s="20" t="s">
        <v>522</v>
      </c>
      <c r="B56" s="20">
        <v>390</v>
      </c>
      <c r="C56" s="20">
        <v>449</v>
      </c>
      <c r="D56" s="20">
        <v>424</v>
      </c>
      <c r="G56" t="s">
        <v>465</v>
      </c>
    </row>
    <row r="57" spans="1:7" x14ac:dyDescent="0.25">
      <c r="A57" s="4" t="s">
        <v>64</v>
      </c>
      <c r="B57" s="4"/>
      <c r="C57" s="4"/>
      <c r="D57" s="4"/>
      <c r="G57" t="s">
        <v>466</v>
      </c>
    </row>
    <row r="58" spans="1:7" x14ac:dyDescent="0.25">
      <c r="A58" s="20" t="s">
        <v>65</v>
      </c>
      <c r="B58" s="20">
        <v>261</v>
      </c>
      <c r="C58" s="20">
        <v>274</v>
      </c>
      <c r="D58" s="20">
        <v>266</v>
      </c>
      <c r="G58" t="s">
        <v>457</v>
      </c>
    </row>
    <row r="59" spans="1:7" x14ac:dyDescent="0.25">
      <c r="A59" s="4" t="s">
        <v>66</v>
      </c>
      <c r="B59" s="4"/>
      <c r="C59" s="4"/>
      <c r="D59" s="4"/>
    </row>
    <row r="60" spans="1:7" x14ac:dyDescent="0.25">
      <c r="A60" s="20" t="s">
        <v>99</v>
      </c>
      <c r="B60" s="20">
        <v>234</v>
      </c>
      <c r="C60" s="20">
        <v>260</v>
      </c>
      <c r="D60" s="20">
        <v>250</v>
      </c>
      <c r="G60" t="s">
        <v>467</v>
      </c>
    </row>
    <row r="61" spans="1:7" x14ac:dyDescent="0.25">
      <c r="A61" t="s">
        <v>68</v>
      </c>
      <c r="G61" t="s">
        <v>468</v>
      </c>
    </row>
    <row r="62" spans="1:7" x14ac:dyDescent="0.25">
      <c r="A62" s="20" t="s">
        <v>136</v>
      </c>
      <c r="B62" s="20">
        <v>629</v>
      </c>
      <c r="C62" s="20">
        <v>703</v>
      </c>
      <c r="D62" s="20">
        <v>669</v>
      </c>
      <c r="E62" s="40" t="s">
        <v>198</v>
      </c>
      <c r="G62" t="s">
        <v>457</v>
      </c>
    </row>
    <row r="63" spans="1:7" x14ac:dyDescent="0.25">
      <c r="A63" s="4" t="s">
        <v>70</v>
      </c>
      <c r="B63" s="4"/>
      <c r="C63" s="4"/>
      <c r="D63" s="4"/>
    </row>
    <row r="64" spans="1:7" x14ac:dyDescent="0.25">
      <c r="A64" s="20" t="s">
        <v>71</v>
      </c>
      <c r="B64" s="20">
        <v>317</v>
      </c>
      <c r="C64" s="20">
        <v>349</v>
      </c>
      <c r="D64" s="20">
        <v>332</v>
      </c>
      <c r="G64" t="s">
        <v>469</v>
      </c>
    </row>
    <row r="65" spans="1:7" ht="15.75" thickBot="1" x14ac:dyDescent="0.3">
      <c r="A65" s="4" t="s">
        <v>72</v>
      </c>
      <c r="B65" s="4"/>
      <c r="C65" s="4"/>
      <c r="D65" s="4"/>
      <c r="G65" t="s">
        <v>470</v>
      </c>
    </row>
    <row r="66" spans="1:7" ht="16.5" thickTop="1" thickBot="1" x14ac:dyDescent="0.3">
      <c r="A66" s="25" t="s">
        <v>73</v>
      </c>
      <c r="B66" s="25">
        <v>89</v>
      </c>
      <c r="C66" s="25">
        <v>99</v>
      </c>
      <c r="D66" s="25">
        <v>93</v>
      </c>
      <c r="G66" t="s">
        <v>471</v>
      </c>
    </row>
    <row r="67" spans="1:7" ht="15.75" thickTop="1" x14ac:dyDescent="0.25">
      <c r="A67" s="4" t="s">
        <v>74</v>
      </c>
      <c r="B67" s="4"/>
      <c r="C67" s="4"/>
      <c r="D67" s="4"/>
    </row>
    <row r="68" spans="1:7" x14ac:dyDescent="0.25">
      <c r="A68" s="18" t="s">
        <v>75</v>
      </c>
      <c r="B68" s="18">
        <v>343</v>
      </c>
      <c r="C68" s="18">
        <v>400</v>
      </c>
      <c r="D68" s="18">
        <v>386</v>
      </c>
      <c r="G68" t="s">
        <v>472</v>
      </c>
    </row>
    <row r="69" spans="1:7" x14ac:dyDescent="0.25">
      <c r="A69" s="4" t="s">
        <v>76</v>
      </c>
      <c r="B69" s="4"/>
      <c r="C69" s="4"/>
      <c r="D69" s="4"/>
      <c r="G69" t="s">
        <v>473</v>
      </c>
    </row>
    <row r="70" spans="1:7" x14ac:dyDescent="0.25">
      <c r="A70" s="20" t="s">
        <v>101</v>
      </c>
      <c r="B70" s="21">
        <v>189</v>
      </c>
      <c r="C70" s="21">
        <v>207</v>
      </c>
      <c r="D70" s="21">
        <v>200</v>
      </c>
      <c r="G70" t="s">
        <v>457</v>
      </c>
    </row>
    <row r="71" spans="1:7" x14ac:dyDescent="0.25">
      <c r="A71" s="4" t="s">
        <v>78</v>
      </c>
      <c r="B71" s="4"/>
      <c r="C71" s="4"/>
      <c r="D71" s="4"/>
    </row>
    <row r="72" spans="1:7" x14ac:dyDescent="0.25">
      <c r="A72" s="20" t="s">
        <v>523</v>
      </c>
      <c r="B72" s="21">
        <v>157</v>
      </c>
      <c r="C72" s="21">
        <v>197</v>
      </c>
      <c r="D72" s="21">
        <v>181</v>
      </c>
    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   </c>
      <c r="B73" s="39"/>
      <c r="C73" s="39"/>
      <c r="D73" s="39"/>
      <c r="G73" t="s">
        <v>475</v>
      </c>
    </row>
    <row r="74" spans="1:7" x14ac:dyDescent="0.25">
      <c r="A74" s="44" t="s">
        <v>126</v>
      </c>
      <c r="B74" s="45">
        <v>73899</v>
      </c>
      <c r="C74" s="45">
        <v>78773</v>
      </c>
      <c r="D74" s="45">
        <v>78095</v>
      </c>
      <c r="G74" t="s">
        <v>460</v>
      </c>
    </row>
    <row r="75" spans="1:7" x14ac:dyDescent="0.25">
      <c r="A75" s="39" t="s">
        <v>82</v>
      </c>
      <c r="B75" s="43"/>
      <c r="C75" s="43"/>
      <c r="D75" s="43"/>
    </row>
    <row r="76" spans="1:7" ht="30" x14ac:dyDescent="0.25">
      <c r="A76" s="31" t="s">
        <v>524</v>
      </c>
      <c r="G76" t="s">
        <v>287</v>
      </c>
    </row>
    <row r="77" spans="1:7" ht="30" x14ac:dyDescent="0.25">
      <c r="A77" s="31" t="s">
        <v>525</v>
      </c>
      <c r="G77" t="s">
        <v>476</v>
      </c>
    </row>
    <row r="78" spans="1:7" ht="45" x14ac:dyDescent="0.25">
      <c r="A78" s="31" t="s">
        <v>526</v>
      </c>
      <c r="G78" t="s">
        <v>477</v>
      </c>
    </row>
    <row r="79" spans="1:7" ht="30" x14ac:dyDescent="0.25">
      <c r="A79" s="31" t="s">
        <v>527</v>
      </c>
      <c r="G79" t="s">
        <v>478</v>
      </c>
    </row>
    <row r="80" spans="1:7" ht="45" x14ac:dyDescent="0.25">
      <c r="A80" s="31" t="s">
        <v>528</v>
      </c>
      <c r="G80" t="s">
        <v>479</v>
      </c>
    </row>
    <row r="81" spans="1:7" ht="30" x14ac:dyDescent="0.25">
      <c r="A81" s="31" t="s">
        <v>529</v>
      </c>
      <c r="G81" t="s">
        <v>480</v>
      </c>
    </row>
    <row r="82" spans="1:7" ht="45" x14ac:dyDescent="0.25">
      <c r="A82" s="31" t="s">
        <v>530</v>
      </c>
      <c r="G82" t="s">
        <v>481</v>
      </c>
    </row>
    <row r="83" spans="1:7" ht="45" x14ac:dyDescent="0.25">
      <c r="A83" s="31" t="s">
        <v>531</v>
      </c>
      <c r="G83" t="s">
        <v>287</v>
      </c>
    </row>
    <row r="84" spans="1:7" ht="30" x14ac:dyDescent="0.25">
      <c r="A84" s="31" t="s">
        <v>532</v>
      </c>
      <c r="G84" t="s">
        <v>330</v>
      </c>
    </row>
    <row r="85" spans="1:7" ht="30" x14ac:dyDescent="0.25">
      <c r="A85" s="31" t="s">
        <v>533</v>
      </c>
      <c r="G85" t="s">
        <v>331</v>
      </c>
    </row>
    <row r="86" spans="1:7" ht="45" x14ac:dyDescent="0.25">
      <c r="A86" s="31" t="s">
        <v>534</v>
      </c>
      <c r="G86" t="s">
        <v>287</v>
      </c>
    </row>
    <row r="87" spans="1:7" ht="45" x14ac:dyDescent="0.25">
      <c r="A87" s="31" t="s">
        <v>535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BCF1-3941-441B-8FF4-21656611A310}">
  <dimension ref="A1:I73"/>
  <sheetViews>
    <sheetView workbookViewId="0">
      <selection activeCell="F2" sqref="F2"/>
    </sheetView>
  </sheetViews>
  <sheetFormatPr defaultRowHeight="15" x14ac:dyDescent="0.25"/>
  <cols>
    <col min="1" max="1" width="35.42578125" bestFit="1" customWidth="1"/>
    <col min="2" max="2" width="10" bestFit="1" customWidth="1"/>
    <col min="3" max="3" width="9.28515625" bestFit="1" customWidth="1"/>
    <col min="4" max="4" width="10.42578125" bestFit="1" customWidth="1"/>
    <col min="5" max="5" width="8.85546875" bestFit="1" customWidth="1"/>
    <col min="6" max="6" width="11.140625" bestFit="1" customWidth="1"/>
    <col min="7" max="7" width="10.85546875" bestFit="1" customWidth="1"/>
    <col min="8" max="8" width="11.28515625" bestFit="1" customWidth="1"/>
    <col min="9" max="9" width="10.5703125" bestFit="1" customWidth="1"/>
  </cols>
  <sheetData>
    <row r="1" spans="1:9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 x14ac:dyDescent="0.25">
      <c r="A2" t="str">
        <f>'Jan 29. 2026'!A2</f>
        <v>UST30Y (BULLISH)</v>
      </c>
      <c r="B2">
        <f>_xlfn.XLOOKUP($A2,'Jan 29. 2026'!$A:$A,'Jan 29. 2026'!$B:$B)</f>
        <v>4.92</v>
      </c>
      <c r="C2">
        <f>_xlfn.XLOOKUP($A2,'Jan 28. 2026'!$A:$A,'Jan 28. 2026'!$B:$B)</f>
        <v>4.92</v>
      </c>
    </row>
    <row r="3" spans="1:9" x14ac:dyDescent="0.25">
      <c r="A3" t="str">
        <f>'Jan 29. 2026'!A3</f>
        <v>30-Year U.S. Treasury Yield</v>
      </c>
      <c r="B3">
        <f>_xlfn.XLOOKUP($A3,'Jan 29. 2026'!$A:$A,'Jan 29. 2026'!$B:$B)</f>
        <v>0</v>
      </c>
    </row>
    <row r="4" spans="1:9" x14ac:dyDescent="0.25">
      <c r="A4" t="str">
        <f>'Jan 29. 2026'!A4</f>
        <v>UST10Y (BULLISH)</v>
      </c>
      <c r="B4">
        <f>_xlfn.XLOOKUP($A4,'Jan 29. 2026'!$A:$A,'Jan 29. 2026'!$B:$B)</f>
        <v>4.3099999999999996</v>
      </c>
    </row>
    <row r="5" spans="1:9" x14ac:dyDescent="0.25">
      <c r="A5" t="str">
        <f>'Jan 29. 2026'!A5</f>
        <v>10-Year U.S. Treasury Yield</v>
      </c>
      <c r="B5">
        <f>_xlfn.XLOOKUP($A5,'Jan 29. 2026'!$A:$A,'Jan 29. 2026'!$B:$B)</f>
        <v>0</v>
      </c>
    </row>
    <row r="6" spans="1:9" x14ac:dyDescent="0.25">
      <c r="A6" t="str">
        <f>'Jan 29. 2026'!A6</f>
        <v>UST2Y (BEARISH)</v>
      </c>
      <c r="B6">
        <f>_xlfn.XLOOKUP($A6,'Jan 29. 2026'!$A:$A,'Jan 29. 2026'!$B:$B)</f>
        <v>3.61</v>
      </c>
    </row>
    <row r="7" spans="1:9" x14ac:dyDescent="0.25">
      <c r="A7" t="str">
        <f>'Jan 29. 2026'!A7</f>
        <v>2-Year U.S. Treasury Yield</v>
      </c>
      <c r="B7">
        <f>_xlfn.XLOOKUP($A7,'Jan 29. 2026'!$A:$A,'Jan 29. 2026'!$B:$B)</f>
        <v>0</v>
      </c>
    </row>
    <row r="8" spans="1:9" x14ac:dyDescent="0.25">
      <c r="A8" t="str">
        <f>'Jan 29. 2026'!A8</f>
        <v>HYG (BULLISH)</v>
      </c>
      <c r="B8">
        <f>_xlfn.XLOOKUP($A8,'Jan 29. 2026'!$A:$A,'Jan 29. 2026'!$B:$B)</f>
        <v>80.91</v>
      </c>
    </row>
    <row r="9" spans="1:9" x14ac:dyDescent="0.25">
      <c r="A9" t="str">
        <f>'Jan 29. 2026'!A9</f>
        <v>High Yield</v>
      </c>
      <c r="B9">
        <f>_xlfn.XLOOKUP($A9,'Jan 29. 2026'!$A:$A,'Jan 29. 2026'!$B:$B)</f>
        <v>0</v>
      </c>
    </row>
    <row r="10" spans="1:9" x14ac:dyDescent="0.25">
      <c r="A10" t="str">
        <f>'Jan 29. 2026'!A10</f>
        <v>LQD (BULLISH)</v>
      </c>
      <c r="B10">
        <f>_xlfn.XLOOKUP($A10,'Jan 29. 2026'!$A:$A,'Jan 29. 2026'!$B:$B)</f>
        <v>110</v>
      </c>
    </row>
    <row r="11" spans="1:9" x14ac:dyDescent="0.25">
      <c r="A11" t="str">
        <f>'Jan 29. 2026'!A11</f>
        <v>Investment Grade Corporate Bond ETF</v>
      </c>
      <c r="B11">
        <f>_xlfn.XLOOKUP($A11,'Jan 29. 2026'!$A:$A,'Jan 29. 2026'!$B:$B)</f>
        <v>0</v>
      </c>
    </row>
    <row r="12" spans="1:9" x14ac:dyDescent="0.25">
      <c r="A12" t="str">
        <f>'Jan 29. 2026'!A12</f>
        <v>SPX (BULLISH)</v>
      </c>
      <c r="B12">
        <f>_xlfn.XLOOKUP($A12,'Jan 29. 2026'!$A:$A,'Jan 29. 2026'!$B:$B)</f>
        <v>6876</v>
      </c>
    </row>
    <row r="13" spans="1:9" x14ac:dyDescent="0.25">
      <c r="A13" t="str">
        <f>'Jan 29. 2026'!A13</f>
        <v>S&amp;P 500</v>
      </c>
      <c r="B13">
        <f>_xlfn.XLOOKUP($A13,'Jan 29. 2026'!$A:$A,'Jan 29. 2026'!$B:$B)</f>
        <v>0</v>
      </c>
    </row>
    <row r="14" spans="1:9" x14ac:dyDescent="0.25">
      <c r="A14" t="str">
        <f>'Jan 29. 2026'!A14</f>
        <v>COMPQ (BULLISH)</v>
      </c>
      <c r="B14">
        <f>_xlfn.XLOOKUP($A14,'Jan 29. 2026'!$A:$A,'Jan 29. 2026'!$B:$B)</f>
        <v>23054</v>
      </c>
    </row>
    <row r="15" spans="1:9" x14ac:dyDescent="0.25">
      <c r="A15" t="str">
        <f>'Jan 29. 2026'!A15</f>
        <v>NASDAQ Composite</v>
      </c>
      <c r="B15">
        <f>_xlfn.XLOOKUP($A15,'Jan 29. 2026'!$A:$A,'Jan 29. 2026'!$B:$B)</f>
        <v>0</v>
      </c>
    </row>
    <row r="16" spans="1:9" x14ac:dyDescent="0.25">
      <c r="A16" t="str">
        <f>'Jan 29. 2026'!A16</f>
        <v>RUT (BULLISH)</v>
      </c>
      <c r="B16">
        <f>_xlfn.XLOOKUP($A16,'Jan 29. 2026'!$A:$A,'Jan 29. 2026'!$B:$B)</f>
        <v>2629</v>
      </c>
    </row>
    <row r="17" spans="1:2" x14ac:dyDescent="0.25">
      <c r="A17" t="str">
        <f>'Jan 29. 2026'!A17</f>
        <v>Russell 2000</v>
      </c>
      <c r="B17">
        <f>_xlfn.XLOOKUP($A17,'Jan 29. 2026'!$A:$A,'Jan 29. 2026'!$B:$B)</f>
        <v>0</v>
      </c>
    </row>
    <row r="18" spans="1:2" x14ac:dyDescent="0.25">
      <c r="A18" t="str">
        <f>'Jan 29. 2026'!A18</f>
        <v>XLK (BULLISH)</v>
      </c>
      <c r="B18">
        <f>_xlfn.XLOOKUP($A18,'Jan 29. 2026'!$A:$A,'Jan 29. 2026'!$B:$B)</f>
        <v>144</v>
      </c>
    </row>
    <row r="19" spans="1:2" x14ac:dyDescent="0.25">
      <c r="A19" t="str">
        <f>'Jan 29. 2026'!A19</f>
        <v>Technology Select Sector SPDR Fund</v>
      </c>
      <c r="B19">
        <f>_xlfn.XLOOKUP($A19,'Jan 29. 2026'!$A:$A,'Jan 29. 2026'!$B:$B)</f>
        <v>0</v>
      </c>
    </row>
    <row r="20" spans="1:2" x14ac:dyDescent="0.25">
      <c r="A20" t="str">
        <f>'Jan 29. 2026'!A20</f>
        <v>XLI (BULLISH)</v>
      </c>
      <c r="B20">
        <f>_xlfn.XLOOKUP($A20,'Jan 29. 2026'!$A:$A,'Jan 29. 2026'!$B:$B)</f>
        <v>162</v>
      </c>
    </row>
    <row r="21" spans="1:2" x14ac:dyDescent="0.25">
      <c r="A21" t="str">
        <f>'Jan 29. 2026'!A21</f>
        <v>Industrial Select Sector SPDR Fund</v>
      </c>
      <c r="B21">
        <f>_xlfn.XLOOKUP($A21,'Jan 29. 2026'!$A:$A,'Jan 29. 2026'!$B:$B)</f>
        <v>0</v>
      </c>
    </row>
    <row r="22" spans="1:2" x14ac:dyDescent="0.25">
      <c r="A22" t="str">
        <f>'Jan 29. 2026'!A22</f>
        <v>SSEC (BULLISH)</v>
      </c>
      <c r="B22">
        <f>_xlfn.XLOOKUP($A22,'Jan 29. 2026'!$A:$A,'Jan 29. 2026'!$B:$B)</f>
        <v>4090</v>
      </c>
    </row>
    <row r="23" spans="1:2" x14ac:dyDescent="0.25">
      <c r="A23" t="str">
        <f>'Jan 29. 2026'!A23</f>
        <v>Shanghai Composite</v>
      </c>
      <c r="B23">
        <f>_xlfn.XLOOKUP($A23,'Jan 29. 2026'!$A:$A,'Jan 29. 2026'!$B:$B)</f>
        <v>0</v>
      </c>
    </row>
    <row r="24" spans="1:2" x14ac:dyDescent="0.25">
      <c r="A24" t="str">
        <f>'Jan 29. 2026'!A24</f>
        <v>NIKK (BULLISH)</v>
      </c>
      <c r="B24">
        <f>_xlfn.XLOOKUP($A24,'Jan 29. 2026'!$A:$A,'Jan 29. 2026'!$B:$B)</f>
        <v>52509</v>
      </c>
    </row>
    <row r="25" spans="1:2" x14ac:dyDescent="0.25">
      <c r="A25" t="str">
        <f>'Jan 29. 2026'!A25</f>
        <v>Nikkei 225 Index</v>
      </c>
      <c r="B25">
        <f>_xlfn.XLOOKUP($A25,'Jan 29. 2026'!$A:$A,'Jan 29. 2026'!$B:$B)</f>
        <v>0</v>
      </c>
    </row>
    <row r="26" spans="1:2" x14ac:dyDescent="0.25">
      <c r="A26" t="str">
        <f>'Jan 29. 2026'!A26</f>
        <v>DAX (BULLISH)</v>
      </c>
      <c r="B26">
        <f>_xlfn.XLOOKUP($A26,'Jan 29. 2026'!$A:$A,'Jan 29. 2026'!$B:$B)</f>
        <v>24493</v>
      </c>
    </row>
    <row r="27" spans="1:2" x14ac:dyDescent="0.25">
      <c r="A27" t="str">
        <f>'Jan 29. 2026'!A27</f>
        <v>German DAX Composite</v>
      </c>
      <c r="B27">
        <f>_xlfn.XLOOKUP($A27,'Jan 29. 2026'!$A:$A,'Jan 29. 2026'!$B:$B)</f>
        <v>0</v>
      </c>
    </row>
    <row r="28" spans="1:2" x14ac:dyDescent="0.25">
      <c r="A28" t="str">
        <f>'Jan 29. 2026'!A28</f>
        <v>VIX (BEARISH)</v>
      </c>
      <c r="B28">
        <f>_xlfn.XLOOKUP($A28,'Jan 29. 2026'!$A:$A,'Jan 29. 2026'!$B:$B)</f>
        <v>13.81</v>
      </c>
    </row>
    <row r="29" spans="1:2" x14ac:dyDescent="0.25">
      <c r="A29" t="str">
        <f>'Jan 29. 2026'!A29</f>
        <v>Volatility Index</v>
      </c>
      <c r="B29">
        <f>_xlfn.XLOOKUP($A29,'Jan 29. 2026'!$A:$A,'Jan 29. 2026'!$B:$B)</f>
        <v>0</v>
      </c>
    </row>
    <row r="30" spans="1:2" x14ac:dyDescent="0.25">
      <c r="A30" t="str">
        <f>'Jan 29. 2026'!A30</f>
        <v>USD (BEARISH)</v>
      </c>
      <c r="B30">
        <f>_xlfn.XLOOKUP($A30,'Jan 29. 2026'!$A:$A,'Jan 29. 2026'!$B:$B)</f>
        <v>95.51</v>
      </c>
    </row>
    <row r="31" spans="1:2" x14ac:dyDescent="0.25">
      <c r="A31" t="str">
        <f>'Jan 29. 2026'!A31</f>
        <v>U.S. Dollar Index</v>
      </c>
      <c r="B31">
        <f>_xlfn.XLOOKUP($A31,'Jan 29. 2026'!$A:$A,'Jan 29. 2026'!$B:$B)</f>
        <v>0</v>
      </c>
    </row>
    <row r="32" spans="1:2" x14ac:dyDescent="0.25">
      <c r="A32" t="str">
        <f>'Jan 29. 2026'!A32</f>
        <v>EUR/USD (BULLISH)</v>
      </c>
      <c r="B32">
        <f>_xlfn.XLOOKUP($A32,'Jan 29. 2026'!$A:$A,'Jan 29. 2026'!$B:$B)</f>
        <v>1.175</v>
      </c>
    </row>
    <row r="33" spans="1:2" x14ac:dyDescent="0.25">
      <c r="A33" t="str">
        <f>'Jan 29. 2026'!A33</f>
        <v>Euro to U.S. Dollar</v>
      </c>
      <c r="B33">
        <f>_xlfn.XLOOKUP($A33,'Jan 29. 2026'!$A:$A,'Jan 29. 2026'!$B:$B)</f>
        <v>0</v>
      </c>
    </row>
    <row r="34" spans="1:2" x14ac:dyDescent="0.25">
      <c r="A34" t="str">
        <f>'Jan 29. 2026'!A34</f>
        <v>USD/YEN (BEARISH)</v>
      </c>
      <c r="B34">
        <f>_xlfn.XLOOKUP($A34,'Jan 29. 2026'!$A:$A,'Jan 29. 2026'!$B:$B)</f>
        <v>151.07</v>
      </c>
    </row>
    <row r="35" spans="1:2" x14ac:dyDescent="0.25">
      <c r="A35" t="str">
        <f>'Jan 29. 2026'!A35</f>
        <v>U.S. Dollar to Japanese Yen</v>
      </c>
      <c r="B35">
        <f>_xlfn.XLOOKUP($A35,'Jan 29. 2026'!$A:$A,'Jan 29. 2026'!$B:$B)</f>
        <v>0</v>
      </c>
    </row>
    <row r="36" spans="1:2" x14ac:dyDescent="0.25">
      <c r="A36" t="str">
        <f>'Jan 29. 2026'!A36</f>
        <v>GBP/USD (BULLISH)</v>
      </c>
      <c r="B36">
        <f>_xlfn.XLOOKUP($A36,'Jan 29. 2026'!$A:$A,'Jan 29. 2026'!$B:$B)</f>
        <v>1.351</v>
      </c>
    </row>
    <row r="37" spans="1:2" x14ac:dyDescent="0.25">
      <c r="A37" t="str">
        <f>'Jan 29. 2026'!A37</f>
        <v>British Pound to U.S. Dollar</v>
      </c>
      <c r="B37">
        <f>_xlfn.XLOOKUP($A37,'Jan 29. 2026'!$A:$A,'Jan 29. 2026'!$B:$B)</f>
        <v>0</v>
      </c>
    </row>
    <row r="38" spans="1:2" x14ac:dyDescent="0.25">
      <c r="A38" t="str">
        <f>'Jan 29. 2026'!A38</f>
        <v>CAD/USD (BULLISH)</v>
      </c>
      <c r="B38">
        <f>_xlfn.XLOOKUP($A38,'Jan 29. 2026'!$A:$A,'Jan 29. 2026'!$B:$B)</f>
        <v>0.72299999999999998</v>
      </c>
    </row>
    <row r="39" spans="1:2" x14ac:dyDescent="0.25">
      <c r="A39" t="str">
        <f>'Jan 29. 2026'!A39</f>
        <v>Canadian Dollar to U.S. Dollar</v>
      </c>
      <c r="B39">
        <f>_xlfn.XLOOKUP($A39,'Jan 29. 2026'!$A:$A,'Jan 29. 2026'!$B:$B)</f>
        <v>0</v>
      </c>
    </row>
    <row r="40" spans="1:2" x14ac:dyDescent="0.25">
      <c r="A40" t="str">
        <f>'Jan 29. 2026'!A40</f>
        <v>WTIC (BULLISH)</v>
      </c>
      <c r="B40">
        <f>_xlfn.XLOOKUP($A40,'Jan 29. 2026'!$A:$A,'Jan 29. 2026'!$B:$B)</f>
        <v>59.89</v>
      </c>
    </row>
    <row r="41" spans="1:2" x14ac:dyDescent="0.25">
      <c r="A41" t="str">
        <f>'Jan 29. 2026'!A41</f>
        <v>Light Crude Oil Continuous Contract</v>
      </c>
      <c r="B41">
        <f>_xlfn.XLOOKUP($A41,'Jan 29. 2026'!$A:$A,'Jan 29. 2026'!$B:$B)</f>
        <v>0</v>
      </c>
    </row>
    <row r="42" spans="1:2" x14ac:dyDescent="0.25">
      <c r="A42" t="str">
        <f>'Jan 29. 2026'!A42</f>
        <v>BRENT (BULLISH)</v>
      </c>
      <c r="B42">
        <f>_xlfn.XLOOKUP($A42,'Jan 29. 2026'!$A:$A,'Jan 29. 2026'!$B:$B)</f>
        <v>64.06</v>
      </c>
    </row>
    <row r="43" spans="1:2" x14ac:dyDescent="0.25">
      <c r="A43" t="str">
        <f>'Jan 29. 2026'!A43</f>
        <v>Brent Crude Oil Continuous Contract</v>
      </c>
      <c r="B43">
        <f>_xlfn.XLOOKUP($A43,'Jan 29. 2026'!$A:$A,'Jan 29. 2026'!$B:$B)</f>
        <v>0</v>
      </c>
    </row>
    <row r="44" spans="1:2" x14ac:dyDescent="0.25">
      <c r="A44" t="str">
        <f>'Jan 29. 2026'!A44</f>
        <v>NATGAS (BULLISH)</v>
      </c>
      <c r="B44">
        <f>_xlfn.XLOOKUP($A44,'Jan 29. 2026'!$A:$A,'Jan 29. 2026'!$B:$B)</f>
        <v>3.52</v>
      </c>
    </row>
    <row r="45" spans="1:2" x14ac:dyDescent="0.25">
      <c r="A45" t="str">
        <f>'Jan 29. 2026'!A45</f>
        <v>Natural Gas Continuous Contract</v>
      </c>
      <c r="B45">
        <f>_xlfn.XLOOKUP($A45,'Jan 29. 2026'!$A:$A,'Jan 29. 2026'!$B:$B)</f>
        <v>0</v>
      </c>
    </row>
    <row r="46" spans="1:2" x14ac:dyDescent="0.25">
      <c r="A46" t="str">
        <f>'Jan 29. 2026'!A46</f>
        <v>GOLD (BULLISH)</v>
      </c>
      <c r="B46">
        <f>_xlfn.XLOOKUP($A46,'Jan 29. 2026'!$A:$A,'Jan 29. 2026'!$B:$B)</f>
        <v>4993</v>
      </c>
    </row>
    <row r="47" spans="1:2" x14ac:dyDescent="0.25">
      <c r="A47" t="str">
        <f>'Jan 29. 2026'!A47</f>
        <v>Gold Spot Price</v>
      </c>
      <c r="B47">
        <f>_xlfn.XLOOKUP($A47,'Jan 29. 2026'!$A:$A,'Jan 29. 2026'!$B:$B)</f>
        <v>0</v>
      </c>
    </row>
    <row r="48" spans="1:2" x14ac:dyDescent="0.25">
      <c r="A48" t="str">
        <f>'Jan 29. 2026'!A48</f>
        <v>COPPER (BULLISH)</v>
      </c>
      <c r="B48">
        <f>_xlfn.XLOOKUP($A48,'Jan 29. 2026'!$A:$A,'Jan 29. 2026'!$B:$B)</f>
        <v>5.76</v>
      </c>
    </row>
    <row r="49" spans="1:2" x14ac:dyDescent="0.25">
      <c r="A49" t="str">
        <f>'Jan 29. 2026'!A49</f>
        <v>Copper Continuous Contract</v>
      </c>
      <c r="B49">
        <f>_xlfn.XLOOKUP($A49,'Jan 29. 2026'!$A:$A,'Jan 29. 2026'!$B:$B)</f>
        <v>0</v>
      </c>
    </row>
    <row r="50" spans="1:2" x14ac:dyDescent="0.25">
      <c r="A50" t="str">
        <f>'Jan 29. 2026'!A50</f>
        <v>SILVER (BULLISH)</v>
      </c>
      <c r="B50">
        <f>_xlfn.XLOOKUP($A50,'Jan 29. 2026'!$A:$A,'Jan 29. 2026'!$B:$B)</f>
        <v>99</v>
      </c>
    </row>
    <row r="51" spans="1:2" x14ac:dyDescent="0.25">
      <c r="A51" t="str">
        <f>'Jan 29. 2026'!A51</f>
        <v>Silver Spot Price</v>
      </c>
      <c r="B51">
        <f>_xlfn.XLOOKUP($A51,'Jan 29. 2026'!$A:$A,'Jan 29. 2026'!$B:$B)</f>
        <v>0</v>
      </c>
    </row>
    <row r="52" spans="1:2" x14ac:dyDescent="0.25">
      <c r="A52" t="str">
        <f>'Jan 29. 2026'!A52</f>
        <v>PPLT (BULLISH)</v>
      </c>
      <c r="B52">
        <f>_xlfn.XLOOKUP($A52,'Jan 29. 2026'!$A:$A,'Jan 29. 2026'!$B:$B)</f>
        <v>222</v>
      </c>
    </row>
    <row r="53" spans="1:2" x14ac:dyDescent="0.25">
      <c r="A53" t="str">
        <f>'Jan 29. 2026'!A53</f>
        <v>abrdn Physical Platinum Shares ETF</v>
      </c>
      <c r="B53">
        <f>_xlfn.XLOOKUP($A53,'Jan 29. 2026'!$A:$A,'Jan 29. 2026'!$B:$B)</f>
        <v>0</v>
      </c>
    </row>
    <row r="54" spans="1:2" x14ac:dyDescent="0.25">
      <c r="A54" t="str">
        <f>'Jan 29. 2026'!A54</f>
        <v>MSFT (BEARISH)</v>
      </c>
      <c r="B54">
        <f>_xlfn.XLOOKUP($A54,'Jan 29. 2026'!$A:$A,'Jan 29. 2026'!$B:$B)</f>
        <v>432</v>
      </c>
    </row>
    <row r="55" spans="1:2" x14ac:dyDescent="0.25">
      <c r="A55" t="str">
        <f>'Jan 29. 2026'!A55</f>
        <v>Microsoft Corp.</v>
      </c>
      <c r="B55">
        <f>_xlfn.XLOOKUP($A55,'Jan 29. 2026'!$A:$A,'Jan 29. 2026'!$B:$B)</f>
        <v>0</v>
      </c>
    </row>
    <row r="56" spans="1:2" x14ac:dyDescent="0.25">
      <c r="A56" t="str">
        <f>'Jan 29. 2026'!A56</f>
        <v>AAPL (BEARISH)</v>
      </c>
      <c r="B56">
        <f>_xlfn.XLOOKUP($A56,'Jan 29. 2026'!$A:$A,'Jan 29. 2026'!$B:$B)</f>
        <v>241</v>
      </c>
    </row>
    <row r="57" spans="1:2" x14ac:dyDescent="0.25">
      <c r="A57" t="str">
        <f>'Jan 29. 2026'!A57</f>
        <v>Apple Inc.</v>
      </c>
      <c r="B57">
        <f>_xlfn.XLOOKUP($A57,'Jan 29. 2026'!$A:$A,'Jan 29. 2026'!$B:$B)</f>
        <v>0</v>
      </c>
    </row>
    <row r="58" spans="1:2" x14ac:dyDescent="0.25">
      <c r="A58" t="str">
        <f>'Jan 29. 2026'!A58</f>
        <v>AMZN (BULLISH)</v>
      </c>
      <c r="B58">
        <f>_xlfn.XLOOKUP($A58,'Jan 29. 2026'!$A:$A,'Jan 29. 2026'!$B:$B)</f>
        <v>232</v>
      </c>
    </row>
    <row r="59" spans="1:2" x14ac:dyDescent="0.25">
      <c r="A59" t="str">
        <f>'Jan 29. 2026'!A59</f>
        <v>Amazon Inc.</v>
      </c>
      <c r="B59">
        <f>_xlfn.XLOOKUP($A59,'Jan 29. 2026'!$A:$A,'Jan 29. 2026'!$B:$B)</f>
        <v>0</v>
      </c>
    </row>
    <row r="60" spans="1:2" x14ac:dyDescent="0.25">
      <c r="A60" t="str">
        <f>'Jan 29. 2026'!A60</f>
        <v>META (BULLISH)</v>
      </c>
      <c r="B60">
        <f>_xlfn.XLOOKUP($A60,'Jan 29. 2026'!$A:$A,'Jan 29. 2026'!$B:$B)</f>
        <v>605</v>
      </c>
    </row>
    <row r="61" spans="1:2" x14ac:dyDescent="0.25">
      <c r="A61" t="str">
        <f>'Jan 29. 2026'!A61</f>
        <v>Meta Platforms Inc.</v>
      </c>
      <c r="B61">
        <f>_xlfn.XLOOKUP($A61,'Jan 29. 2026'!$A:$A,'Jan 29. 2026'!$B:$B)</f>
        <v>0</v>
      </c>
    </row>
    <row r="62" spans="1:2" x14ac:dyDescent="0.25">
      <c r="A62" t="str">
        <f>'Jan 29. 2026'!A62</f>
        <v>GOOGL (BULLISH)</v>
      </c>
      <c r="B62">
        <f>_xlfn.XLOOKUP($A62,'Jan 29. 2026'!$A:$A,'Jan 29. 2026'!$B:$B)</f>
        <v>324</v>
      </c>
    </row>
    <row r="63" spans="1:2" x14ac:dyDescent="0.25">
      <c r="A63" t="str">
        <f>'Jan 29. 2026'!A63</f>
        <v>Alphabet Inc.</v>
      </c>
      <c r="B63">
        <f>_xlfn.XLOOKUP($A63,'Jan 29. 2026'!$A:$A,'Jan 29. 2026'!$B:$B)</f>
        <v>0</v>
      </c>
    </row>
    <row r="64" spans="1:2" x14ac:dyDescent="0.25">
      <c r="A64" t="str">
        <f>'Jan 29. 2026'!A64</f>
        <v>NFLX (BEARISH)</v>
      </c>
      <c r="B64">
        <f>_xlfn.XLOOKUP($A64,'Jan 29. 2026'!$A:$A,'Jan 29. 2026'!$B:$B)</f>
        <v>81</v>
      </c>
    </row>
    <row r="65" spans="1:2" x14ac:dyDescent="0.25">
      <c r="A65" t="str">
        <f>'Jan 29. 2026'!A65</f>
        <v>Netflix Inc.</v>
      </c>
      <c r="B65">
        <f>_xlfn.XLOOKUP($A65,'Jan 29. 2026'!$A:$A,'Jan 29. 2026'!$B:$B)</f>
        <v>0</v>
      </c>
    </row>
    <row r="66" spans="1:2" x14ac:dyDescent="0.25">
      <c r="A66" t="str">
        <f>'Jan 29. 2026'!A66</f>
        <v>TSLA (BULLISH)</v>
      </c>
      <c r="B66">
        <f>_xlfn.XLOOKUP($A66,'Jan 29. 2026'!$A:$A,'Jan 29. 2026'!$B:$B)</f>
        <v>421</v>
      </c>
    </row>
    <row r="67" spans="1:2" x14ac:dyDescent="0.25">
      <c r="A67" t="str">
        <f>'Jan 29. 2026'!A67</f>
        <v>Tesla Inc.</v>
      </c>
      <c r="B67">
        <f>_xlfn.XLOOKUP($A67,'Jan 29. 2026'!$A:$A,'Jan 29. 2026'!$B:$B)</f>
        <v>0</v>
      </c>
    </row>
    <row r="68" spans="1:2" x14ac:dyDescent="0.25">
      <c r="A68" t="str">
        <f>'Jan 29. 2026'!A68</f>
        <v>NVDA (BULLISH)</v>
      </c>
      <c r="B68">
        <f>_xlfn.XLOOKUP($A68,'Jan 29. 2026'!$A:$A,'Jan 29. 2026'!$B:$B)</f>
        <v>183</v>
      </c>
    </row>
    <row r="69" spans="1:2" x14ac:dyDescent="0.25">
      <c r="A69" t="str">
        <f>'Jan 29. 2026'!A69</f>
        <v>NVIDIA Corporation</v>
      </c>
      <c r="B69">
        <f>_xlfn.XLOOKUP($A69,'Jan 29. 2026'!$A:$A,'Jan 29. 2026'!$B:$B)</f>
        <v>0</v>
      </c>
    </row>
    <row r="70" spans="1:2" x14ac:dyDescent="0.25">
      <c r="A70" t="str">
        <f>'Jan 29. 2026'!A70</f>
        <v>ORCL (BEARISH)</v>
      </c>
      <c r="B70">
        <f>_xlfn.XLOOKUP($A70,'Jan 29. 2026'!$A:$A,'Jan 29. 2026'!$B:$B)</f>
        <v>166</v>
      </c>
    </row>
    <row r="71" spans="1:2" x14ac:dyDescent="0.25">
      <c r="A71" t="str">
        <f>'Jan 29. 2026'!A71</f>
        <v>Oracle Corporation</v>
      </c>
      <c r="B71">
        <f>_xlfn.XLOOKUP($A71,'Jan 29. 2026'!$A:$A,'Jan 29. 2026'!$B:$B)</f>
        <v>0</v>
      </c>
    </row>
    <row r="72" spans="1:2" x14ac:dyDescent="0.25">
      <c r="A72" t="str">
        <f>'Jan 29. 2026'!A72</f>
        <v>BITCOIN (BEARISH)</v>
      </c>
      <c r="B72">
        <f>_xlfn.XLOOKUP($A72,'Jan 29. 2026'!$A:$A,'Jan 29. 2026'!$B:$B)</f>
        <v>85856</v>
      </c>
    </row>
    <row r="73" spans="1:2" x14ac:dyDescent="0.25">
      <c r="A73" t="str">
        <f>'Jan 29. 2026'!A73</f>
        <v>Bitcoin Spot Price</v>
      </c>
      <c r="B73">
        <f>_xlfn.XLOOKUP($A73,'Jan 29. 2026'!$A:$A,'Jan 29. 2026'!$B:$B)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RiskRanges</vt:lpstr>
      <vt:lpstr>Nov. 24.2025</vt:lpstr>
      <vt:lpstr>Nov. 25.2025</vt:lpstr>
      <vt:lpstr>Nov. 26.2025</vt:lpstr>
      <vt:lpstr>Nov 28.2025</vt:lpstr>
      <vt:lpstr>Dec 1.2025</vt:lpstr>
      <vt:lpstr>Dec 2. 2025</vt:lpstr>
      <vt:lpstr>Dec 3. 2025</vt:lpstr>
      <vt:lpstr>Dec 4.2025</vt:lpstr>
      <vt:lpstr>Dec 5.2025</vt:lpstr>
      <vt:lpstr>Dec 8.2025</vt:lpstr>
      <vt:lpstr>Dec. 9.2025</vt:lpstr>
      <vt:lpstr>Dec 10.2025</vt:lpstr>
      <vt:lpstr>Dec. 11.2025</vt:lpstr>
      <vt:lpstr>Dec 12.2025</vt:lpstr>
      <vt:lpstr>Dec. 15.2025</vt:lpstr>
      <vt:lpstr>Dec 16.2025</vt:lpstr>
      <vt:lpstr>Dec 17.2025</vt:lpstr>
      <vt:lpstr>Dec 18.2025</vt:lpstr>
      <vt:lpstr>Dec 19.2025</vt:lpstr>
      <vt:lpstr>Dec 22.2025</vt:lpstr>
      <vt:lpstr>Dec 23.2025</vt:lpstr>
      <vt:lpstr>Dec. 24.2025</vt:lpstr>
      <vt:lpstr>Dec 26. 2025</vt:lpstr>
      <vt:lpstr>Dec 29. 2025</vt:lpstr>
      <vt:lpstr>Dec 30. 2025</vt:lpstr>
      <vt:lpstr>Dec 31. 2025</vt:lpstr>
      <vt:lpstr>Jan 2. 2026</vt:lpstr>
      <vt:lpstr>Jan 5. 2026</vt:lpstr>
      <vt:lpstr>Jan 6. 2026</vt:lpstr>
      <vt:lpstr>Jan 7. 2026</vt:lpstr>
      <vt:lpstr>Jan 8. 2026</vt:lpstr>
      <vt:lpstr>Jan 9. 2026</vt:lpstr>
      <vt:lpstr>Jan 12. 2026</vt:lpstr>
      <vt:lpstr>Jan 13. 2026</vt:lpstr>
      <vt:lpstr>Jan 14. 2026</vt:lpstr>
      <vt:lpstr>Jan 15. 2026</vt:lpstr>
      <vt:lpstr>Jan 16. 2026</vt:lpstr>
      <vt:lpstr>Jan 20. 2026</vt:lpstr>
      <vt:lpstr>Jan 21. 2026</vt:lpstr>
      <vt:lpstr>Jan 22. 2026</vt:lpstr>
      <vt:lpstr>Jan 23. 2026</vt:lpstr>
      <vt:lpstr>Jan 26. 2026</vt:lpstr>
      <vt:lpstr>Jan 27. 2026</vt:lpstr>
      <vt:lpstr>Jan 28. 2026</vt:lpstr>
      <vt:lpstr>Jan 29. 2026</vt:lpstr>
      <vt:lpstr>Jan 30. 2026</vt:lpstr>
      <vt:lpstr>Feb 2. 2026</vt:lpstr>
      <vt:lpstr>Feb 3. 2026</vt:lpstr>
      <vt:lpstr>Feb 4. 2026</vt:lpstr>
      <vt:lpstr>Feb 5. 2026</vt:lpstr>
      <vt:lpstr>Feb 6. 2026</vt:lpstr>
      <vt:lpstr>Feb 9. 2026</vt:lpstr>
      <vt:lpstr>Feb 10. 2026</vt:lpstr>
      <vt:lpstr>Feb 11. 2026</vt:lpstr>
      <vt:lpstr>Feb 12. 2026</vt:lpstr>
      <vt:lpstr>Feb 13. 2026</vt:lpstr>
      <vt:lpstr>Feb 17. 2026</vt:lpstr>
      <vt:lpstr>Feb 18. 2026</vt:lpstr>
      <vt:lpstr>Feb 19. 2026</vt:lpstr>
      <vt:lpstr>Feb 20. 2026</vt:lpstr>
      <vt:lpstr>Feb 23. 2026</vt:lpstr>
      <vt:lpstr>Feb 24. 2026</vt:lpstr>
      <vt:lpstr>Feb 25. 2026</vt:lpstr>
      <vt:lpstr>Feb 26. 2025</vt:lpstr>
      <vt:lpstr>Feb 27. 2025</vt:lpstr>
      <vt:lpstr>Mar 2. 2026</vt:lpstr>
      <vt:lpstr>Mar 3. 2026</vt:lpstr>
      <vt:lpstr>Mar 4. 2026</vt:lpstr>
      <vt:lpstr>Mar 5. 2026</vt:lpstr>
      <vt:lpstr>Mar 6. 2026</vt:lpstr>
      <vt:lpstr>Mar 9. 2026</vt:lpstr>
      <vt:lpstr>Mar 10. 2026</vt:lpstr>
      <vt:lpstr>Mar 11. 2026</vt:lpstr>
      <vt:lpstr>Mar 12. 2026</vt:lpstr>
      <vt:lpstr>Mar 13. 2026</vt:lpstr>
      <vt:lpstr>Mar 16. 2026</vt:lpstr>
      <vt:lpstr>Mar 17. 2026</vt:lpstr>
      <vt:lpstr>Mar 18. 2026</vt:lpstr>
      <vt:lpstr>Mar 19. 2026</vt:lpstr>
      <vt:lpstr>Mar 20. 2026</vt:lpstr>
      <vt:lpstr>Mar 23. 2026</vt:lpstr>
      <vt:lpstr>Mar 24. 2026</vt:lpstr>
      <vt:lpstr>Mar 25. 2026</vt:lpstr>
      <vt:lpstr>Mar 26. 2026</vt:lpstr>
      <vt:lpstr>Mar 27. 2026</vt:lpstr>
      <vt:lpstr>Mar 30. 2026</vt:lpstr>
      <vt:lpstr>Mar 31. 2026</vt:lpstr>
      <vt:lpstr>Apr 1. 2026</vt:lpstr>
      <vt:lpstr>Apr 2. 2026</vt:lpstr>
      <vt:lpstr>Apr 6. 2026</vt:lpstr>
      <vt:lpstr>Apr 7. 2026</vt:lpstr>
      <vt:lpstr>Apr 8. 2026</vt:lpstr>
      <vt:lpstr>Apr 9. 2026</vt:lpstr>
      <vt:lpstr>Apr 10. 2026</vt:lpstr>
      <vt:lpstr>Apr 13. 2026</vt:lpstr>
      <vt:lpstr>Apr 14. 2026</vt:lpstr>
      <vt:lpstr>Apr 15. 2026</vt:lpstr>
      <vt:lpstr>Apr 16. 2026</vt:lpstr>
      <vt:lpstr>Apr 17. 2026</vt:lpstr>
      <vt:lpstr>Apr 20. 2026</vt:lpstr>
      <vt:lpstr>Apr 21. 2026</vt:lpstr>
      <vt:lpstr>Apr 22. 2026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romeo</cp:lastModifiedBy>
  <dcterms:created xsi:type="dcterms:W3CDTF">2025-11-24T14:15:04Z</dcterms:created>
  <dcterms:modified xsi:type="dcterms:W3CDTF">2026-04-22T13:21:19Z</dcterms:modified>
</cp:coreProperties>
</file>